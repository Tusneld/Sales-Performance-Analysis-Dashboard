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78C619A8-6839-44BB-908F-7369322E4E5E}" xr6:coauthVersionLast="47" xr6:coauthVersionMax="47" xr10:uidLastSave="{00000000-0000-0000-0000-000000000000}"/>
  <bookViews>
    <workbookView xWindow="-120" yWindow="-120" windowWidth="20730" windowHeight="11760" activeTab="2" xr2:uid="{00000000-000D-0000-FFFF-FFFF00000000}"/>
  </bookViews>
  <sheets>
    <sheet name="Shoe_Sales" sheetId="5" r:id="rId1"/>
    <sheet name="Pivot Table" sheetId="10" r:id="rId2"/>
    <sheet name="Dashboard" sheetId="11" r:id="rId3"/>
    <sheet name="Shoe Sales" sheetId="1" r:id="rId4"/>
    <sheet name="Price" sheetId="2" r:id="rId5"/>
    <sheet name="Business questions" sheetId="3" r:id="rId6"/>
  </sheets>
  <definedNames>
    <definedName name="ExternalData_1" localSheetId="0" hidden="1">Shoe_Sales!$A$1:$Q$501</definedName>
    <definedName name="Slicer_category_Cleaned">#N/A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363" i="1"/>
  <c r="P379" i="1"/>
  <c r="P458" i="1"/>
  <c r="O9" i="1"/>
  <c r="O17" i="1"/>
  <c r="O81" i="1"/>
  <c r="O137" i="1"/>
  <c r="O145" i="1"/>
  <c r="O201" i="1"/>
  <c r="O209" i="1"/>
  <c r="O265" i="1"/>
  <c r="O273" i="1"/>
  <c r="O329" i="1"/>
  <c r="O337" i="1"/>
  <c r="O363" i="1"/>
  <c r="O379" i="1"/>
  <c r="O407" i="1"/>
  <c r="O431" i="1"/>
  <c r="O475" i="1"/>
  <c r="O483" i="1"/>
  <c r="N376" i="1"/>
  <c r="N388" i="1"/>
  <c r="N436" i="1"/>
  <c r="N480" i="1"/>
  <c r="M376" i="1"/>
  <c r="O376" i="1" s="1"/>
  <c r="M408" i="1"/>
  <c r="O408" i="1" s="1"/>
  <c r="M496" i="1"/>
  <c r="O496" i="1" s="1"/>
  <c r="C2" i="1"/>
  <c r="M2" i="1" s="1"/>
  <c r="O2" i="1" s="1"/>
  <c r="C3" i="1"/>
  <c r="C4" i="1"/>
  <c r="C5" i="1"/>
  <c r="M5" i="1" s="1"/>
  <c r="O5" i="1" s="1"/>
  <c r="C6" i="1"/>
  <c r="C7" i="1"/>
  <c r="C8" i="1"/>
  <c r="C9" i="1"/>
  <c r="M9" i="1" s="1"/>
  <c r="C10" i="1"/>
  <c r="C11" i="1"/>
  <c r="M11" i="1" s="1"/>
  <c r="O11" i="1" s="1"/>
  <c r="C12" i="1"/>
  <c r="C13" i="1"/>
  <c r="C14" i="1"/>
  <c r="M14" i="1" s="1"/>
  <c r="O14" i="1" s="1"/>
  <c r="C15" i="1"/>
  <c r="C16" i="1"/>
  <c r="C17" i="1"/>
  <c r="M17" i="1" s="1"/>
  <c r="C18" i="1"/>
  <c r="C19" i="1"/>
  <c r="C20" i="1"/>
  <c r="C21" i="1"/>
  <c r="M21" i="1" s="1"/>
  <c r="O21" i="1" s="1"/>
  <c r="C22" i="1"/>
  <c r="C23" i="1"/>
  <c r="M23" i="1" s="1"/>
  <c r="O23" i="1" s="1"/>
  <c r="C24" i="1"/>
  <c r="C25" i="1"/>
  <c r="M25" i="1" s="1"/>
  <c r="O25" i="1" s="1"/>
  <c r="C26" i="1"/>
  <c r="C27" i="1"/>
  <c r="C28" i="1"/>
  <c r="C29" i="1"/>
  <c r="M29" i="1" s="1"/>
  <c r="O29" i="1" s="1"/>
  <c r="C30" i="1"/>
  <c r="M30" i="1" s="1"/>
  <c r="O30" i="1" s="1"/>
  <c r="C31" i="1"/>
  <c r="C32" i="1"/>
  <c r="C33" i="1"/>
  <c r="M33" i="1" s="1"/>
  <c r="O33" i="1" s="1"/>
  <c r="C34" i="1"/>
  <c r="C35" i="1"/>
  <c r="C36" i="1"/>
  <c r="C37" i="1"/>
  <c r="M37" i="1" s="1"/>
  <c r="O37" i="1" s="1"/>
  <c r="C38" i="1"/>
  <c r="C39" i="1"/>
  <c r="C40" i="1"/>
  <c r="C41" i="1"/>
  <c r="M41" i="1" s="1"/>
  <c r="O41" i="1" s="1"/>
  <c r="C42" i="1"/>
  <c r="C43" i="1"/>
  <c r="C44" i="1"/>
  <c r="C45" i="1"/>
  <c r="C46" i="1"/>
  <c r="M46" i="1" s="1"/>
  <c r="O46" i="1" s="1"/>
  <c r="C47" i="1"/>
  <c r="M47" i="1" s="1"/>
  <c r="O47" i="1" s="1"/>
  <c r="C48" i="1"/>
  <c r="C49" i="1"/>
  <c r="M49" i="1" s="1"/>
  <c r="O49" i="1" s="1"/>
  <c r="C50" i="1"/>
  <c r="C51" i="1"/>
  <c r="C52" i="1"/>
  <c r="C53" i="1"/>
  <c r="M53" i="1" s="1"/>
  <c r="O53" i="1" s="1"/>
  <c r="C54" i="1"/>
  <c r="C55" i="1"/>
  <c r="M55" i="1" s="1"/>
  <c r="O55" i="1" s="1"/>
  <c r="C56" i="1"/>
  <c r="C57" i="1"/>
  <c r="M57" i="1" s="1"/>
  <c r="O57" i="1" s="1"/>
  <c r="C58" i="1"/>
  <c r="C59" i="1"/>
  <c r="C60" i="1"/>
  <c r="C61" i="1"/>
  <c r="M61" i="1" s="1"/>
  <c r="O61" i="1" s="1"/>
  <c r="C62" i="1"/>
  <c r="M62" i="1" s="1"/>
  <c r="O62" i="1" s="1"/>
  <c r="C63" i="1"/>
  <c r="C64" i="1"/>
  <c r="C65" i="1"/>
  <c r="M65" i="1" s="1"/>
  <c r="O65" i="1" s="1"/>
  <c r="C66" i="1"/>
  <c r="C67" i="1"/>
  <c r="C68" i="1"/>
  <c r="C69" i="1"/>
  <c r="M69" i="1" s="1"/>
  <c r="O69" i="1" s="1"/>
  <c r="C70" i="1"/>
  <c r="C71" i="1"/>
  <c r="C72" i="1"/>
  <c r="C73" i="1"/>
  <c r="C74" i="1"/>
  <c r="C75" i="1"/>
  <c r="C76" i="1"/>
  <c r="C77" i="1"/>
  <c r="C78" i="1"/>
  <c r="C79" i="1"/>
  <c r="M79" i="1" s="1"/>
  <c r="O79" i="1" s="1"/>
  <c r="C80" i="1"/>
  <c r="C81" i="1"/>
  <c r="M81" i="1" s="1"/>
  <c r="C82" i="1"/>
  <c r="C83" i="1"/>
  <c r="C84" i="1"/>
  <c r="C85" i="1"/>
  <c r="M85" i="1" s="1"/>
  <c r="O85" i="1" s="1"/>
  <c r="C86" i="1"/>
  <c r="C87" i="1"/>
  <c r="C88" i="1"/>
  <c r="C89" i="1"/>
  <c r="M89" i="1" s="1"/>
  <c r="O89" i="1" s="1"/>
  <c r="C90" i="1"/>
  <c r="C91" i="1"/>
  <c r="M91" i="1" s="1"/>
  <c r="O91" i="1" s="1"/>
  <c r="C92" i="1"/>
  <c r="C93" i="1"/>
  <c r="M93" i="1" s="1"/>
  <c r="O93" i="1" s="1"/>
  <c r="C94" i="1"/>
  <c r="C95" i="1"/>
  <c r="C96" i="1"/>
  <c r="C97" i="1"/>
  <c r="M97" i="1" s="1"/>
  <c r="O97" i="1" s="1"/>
  <c r="C98" i="1"/>
  <c r="M98" i="1" s="1"/>
  <c r="O98" i="1" s="1"/>
  <c r="C99" i="1"/>
  <c r="M99" i="1" s="1"/>
  <c r="O99" i="1" s="1"/>
  <c r="C100" i="1"/>
  <c r="C101" i="1"/>
  <c r="M101" i="1" s="1"/>
  <c r="O101" i="1" s="1"/>
  <c r="C102" i="1"/>
  <c r="C103" i="1"/>
  <c r="C104" i="1"/>
  <c r="C105" i="1"/>
  <c r="M105" i="1" s="1"/>
  <c r="O105" i="1" s="1"/>
  <c r="C106" i="1"/>
  <c r="C107" i="1"/>
  <c r="M107" i="1" s="1"/>
  <c r="O107" i="1" s="1"/>
  <c r="C108" i="1"/>
  <c r="C109" i="1"/>
  <c r="C110" i="1"/>
  <c r="C111" i="1"/>
  <c r="C112" i="1"/>
  <c r="C113" i="1"/>
  <c r="M113" i="1" s="1"/>
  <c r="O113" i="1" s="1"/>
  <c r="C114" i="1"/>
  <c r="C115" i="1"/>
  <c r="C116" i="1"/>
  <c r="C117" i="1"/>
  <c r="M117" i="1" s="1"/>
  <c r="O117" i="1" s="1"/>
  <c r="C118" i="1"/>
  <c r="M118" i="1" s="1"/>
  <c r="O118" i="1" s="1"/>
  <c r="C119" i="1"/>
  <c r="C120" i="1"/>
  <c r="C121" i="1"/>
  <c r="M121" i="1" s="1"/>
  <c r="O121" i="1" s="1"/>
  <c r="C122" i="1"/>
  <c r="C123" i="1"/>
  <c r="M123" i="1" s="1"/>
  <c r="O123" i="1" s="1"/>
  <c r="C124" i="1"/>
  <c r="C125" i="1"/>
  <c r="M125" i="1" s="1"/>
  <c r="O125" i="1" s="1"/>
  <c r="C126" i="1"/>
  <c r="C127" i="1"/>
  <c r="C128" i="1"/>
  <c r="C129" i="1"/>
  <c r="M129" i="1" s="1"/>
  <c r="O129" i="1" s="1"/>
  <c r="C130" i="1"/>
  <c r="C131" i="1"/>
  <c r="M131" i="1" s="1"/>
  <c r="O131" i="1" s="1"/>
  <c r="C132" i="1"/>
  <c r="C133" i="1"/>
  <c r="M133" i="1" s="1"/>
  <c r="O133" i="1" s="1"/>
  <c r="C134" i="1"/>
  <c r="M134" i="1" s="1"/>
  <c r="O134" i="1" s="1"/>
  <c r="C135" i="1"/>
  <c r="C136" i="1"/>
  <c r="C137" i="1"/>
  <c r="M137" i="1" s="1"/>
  <c r="C138" i="1"/>
  <c r="C139" i="1"/>
  <c r="M139" i="1" s="1"/>
  <c r="O139" i="1" s="1"/>
  <c r="C140" i="1"/>
  <c r="C141" i="1"/>
  <c r="C142" i="1"/>
  <c r="C143" i="1"/>
  <c r="C144" i="1"/>
  <c r="C145" i="1"/>
  <c r="M145" i="1" s="1"/>
  <c r="C146" i="1"/>
  <c r="C147" i="1"/>
  <c r="C148" i="1"/>
  <c r="C149" i="1"/>
  <c r="M149" i="1" s="1"/>
  <c r="O149" i="1" s="1"/>
  <c r="C150" i="1"/>
  <c r="C151" i="1"/>
  <c r="M151" i="1" s="1"/>
  <c r="O151" i="1" s="1"/>
  <c r="C152" i="1"/>
  <c r="C153" i="1"/>
  <c r="M153" i="1" s="1"/>
  <c r="O153" i="1" s="1"/>
  <c r="C154" i="1"/>
  <c r="C155" i="1"/>
  <c r="C156" i="1"/>
  <c r="C157" i="1"/>
  <c r="M157" i="1" s="1"/>
  <c r="O157" i="1" s="1"/>
  <c r="C158" i="1"/>
  <c r="C159" i="1"/>
  <c r="C160" i="1"/>
  <c r="C161" i="1"/>
  <c r="M161" i="1" s="1"/>
  <c r="O161" i="1" s="1"/>
  <c r="C162" i="1"/>
  <c r="C163" i="1"/>
  <c r="C164" i="1"/>
  <c r="C165" i="1"/>
  <c r="M165" i="1" s="1"/>
  <c r="O165" i="1" s="1"/>
  <c r="C166" i="1"/>
  <c r="C167" i="1"/>
  <c r="C168" i="1"/>
  <c r="C169" i="1"/>
  <c r="C170" i="1"/>
  <c r="C171" i="1"/>
  <c r="C172" i="1"/>
  <c r="C173" i="1"/>
  <c r="C174" i="1"/>
  <c r="M174" i="1" s="1"/>
  <c r="O174" i="1" s="1"/>
  <c r="C175" i="1"/>
  <c r="M175" i="1" s="1"/>
  <c r="O175" i="1" s="1"/>
  <c r="C176" i="1"/>
  <c r="C177" i="1"/>
  <c r="M177" i="1" s="1"/>
  <c r="O177" i="1" s="1"/>
  <c r="C178" i="1"/>
  <c r="C179" i="1"/>
  <c r="C180" i="1"/>
  <c r="C181" i="1"/>
  <c r="M181" i="1" s="1"/>
  <c r="O181" i="1" s="1"/>
  <c r="C182" i="1"/>
  <c r="C183" i="1"/>
  <c r="M183" i="1" s="1"/>
  <c r="O183" i="1" s="1"/>
  <c r="C184" i="1"/>
  <c r="C185" i="1"/>
  <c r="M185" i="1" s="1"/>
  <c r="O185" i="1" s="1"/>
  <c r="C186" i="1"/>
  <c r="C187" i="1"/>
  <c r="C188" i="1"/>
  <c r="C189" i="1"/>
  <c r="M189" i="1" s="1"/>
  <c r="O189" i="1" s="1"/>
  <c r="C190" i="1"/>
  <c r="C191" i="1"/>
  <c r="C192" i="1"/>
  <c r="C193" i="1"/>
  <c r="M193" i="1" s="1"/>
  <c r="O193" i="1" s="1"/>
  <c r="C194" i="1"/>
  <c r="M194" i="1" s="1"/>
  <c r="O194" i="1" s="1"/>
  <c r="C195" i="1"/>
  <c r="C196" i="1"/>
  <c r="C197" i="1"/>
  <c r="M197" i="1" s="1"/>
  <c r="O197" i="1" s="1"/>
  <c r="C198" i="1"/>
  <c r="C199" i="1"/>
  <c r="C200" i="1"/>
  <c r="C201" i="1"/>
  <c r="M201" i="1" s="1"/>
  <c r="C202" i="1"/>
  <c r="M202" i="1" s="1"/>
  <c r="O202" i="1" s="1"/>
  <c r="C203" i="1"/>
  <c r="C204" i="1"/>
  <c r="C205" i="1"/>
  <c r="C206" i="1"/>
  <c r="C207" i="1"/>
  <c r="M207" i="1" s="1"/>
  <c r="O207" i="1" s="1"/>
  <c r="C208" i="1"/>
  <c r="C209" i="1"/>
  <c r="M209" i="1" s="1"/>
  <c r="C210" i="1"/>
  <c r="C211" i="1"/>
  <c r="C212" i="1"/>
  <c r="C213" i="1"/>
  <c r="M213" i="1" s="1"/>
  <c r="O213" i="1" s="1"/>
  <c r="C214" i="1"/>
  <c r="C215" i="1"/>
  <c r="C216" i="1"/>
  <c r="C217" i="1"/>
  <c r="M217" i="1" s="1"/>
  <c r="O217" i="1" s="1"/>
  <c r="C218" i="1"/>
  <c r="C219" i="1"/>
  <c r="M219" i="1" s="1"/>
  <c r="O219" i="1" s="1"/>
  <c r="C220" i="1"/>
  <c r="C221" i="1"/>
  <c r="M221" i="1" s="1"/>
  <c r="O221" i="1" s="1"/>
  <c r="C222" i="1"/>
  <c r="C223" i="1"/>
  <c r="C224" i="1"/>
  <c r="C225" i="1"/>
  <c r="M225" i="1" s="1"/>
  <c r="O225" i="1" s="1"/>
  <c r="C226" i="1"/>
  <c r="M226" i="1" s="1"/>
  <c r="O226" i="1" s="1"/>
  <c r="C227" i="1"/>
  <c r="M227" i="1" s="1"/>
  <c r="O227" i="1" s="1"/>
  <c r="C228" i="1"/>
  <c r="C229" i="1"/>
  <c r="M229" i="1" s="1"/>
  <c r="O229" i="1" s="1"/>
  <c r="C230" i="1"/>
  <c r="C231" i="1"/>
  <c r="C232" i="1"/>
  <c r="C233" i="1"/>
  <c r="M233" i="1" s="1"/>
  <c r="O233" i="1" s="1"/>
  <c r="C234" i="1"/>
  <c r="M234" i="1" s="1"/>
  <c r="O234" i="1" s="1"/>
  <c r="C235" i="1"/>
  <c r="M235" i="1" s="1"/>
  <c r="O235" i="1" s="1"/>
  <c r="C236" i="1"/>
  <c r="C237" i="1"/>
  <c r="C238" i="1"/>
  <c r="C239" i="1"/>
  <c r="C240" i="1"/>
  <c r="C241" i="1"/>
  <c r="M241" i="1" s="1"/>
  <c r="O241" i="1" s="1"/>
  <c r="C242" i="1"/>
  <c r="M242" i="1" s="1"/>
  <c r="O242" i="1" s="1"/>
  <c r="C243" i="1"/>
  <c r="C244" i="1"/>
  <c r="C245" i="1"/>
  <c r="M245" i="1" s="1"/>
  <c r="O245" i="1" s="1"/>
  <c r="C246" i="1"/>
  <c r="M246" i="1" s="1"/>
  <c r="O246" i="1" s="1"/>
  <c r="C247" i="1"/>
  <c r="C248" i="1"/>
  <c r="C249" i="1"/>
  <c r="M249" i="1" s="1"/>
  <c r="O249" i="1" s="1"/>
  <c r="C250" i="1"/>
  <c r="C251" i="1"/>
  <c r="M251" i="1" s="1"/>
  <c r="O251" i="1" s="1"/>
  <c r="C252" i="1"/>
  <c r="C253" i="1"/>
  <c r="M253" i="1" s="1"/>
  <c r="O253" i="1" s="1"/>
  <c r="C254" i="1"/>
  <c r="C255" i="1"/>
  <c r="C256" i="1"/>
  <c r="C257" i="1"/>
  <c r="M257" i="1" s="1"/>
  <c r="O257" i="1" s="1"/>
  <c r="C258" i="1"/>
  <c r="C259" i="1"/>
  <c r="M259" i="1" s="1"/>
  <c r="O259" i="1" s="1"/>
  <c r="C260" i="1"/>
  <c r="C261" i="1"/>
  <c r="M261" i="1" s="1"/>
  <c r="O261" i="1" s="1"/>
  <c r="C262" i="1"/>
  <c r="M262" i="1" s="1"/>
  <c r="O262" i="1" s="1"/>
  <c r="C263" i="1"/>
  <c r="C264" i="1"/>
  <c r="C265" i="1"/>
  <c r="M265" i="1" s="1"/>
  <c r="C266" i="1"/>
  <c r="C267" i="1"/>
  <c r="M267" i="1" s="1"/>
  <c r="O267" i="1" s="1"/>
  <c r="C268" i="1"/>
  <c r="C269" i="1"/>
  <c r="C270" i="1"/>
  <c r="M270" i="1" s="1"/>
  <c r="O270" i="1" s="1"/>
  <c r="C271" i="1"/>
  <c r="C272" i="1"/>
  <c r="C273" i="1"/>
  <c r="M273" i="1" s="1"/>
  <c r="C274" i="1"/>
  <c r="C275" i="1"/>
  <c r="C276" i="1"/>
  <c r="C277" i="1"/>
  <c r="M277" i="1" s="1"/>
  <c r="O277" i="1" s="1"/>
  <c r="C278" i="1"/>
  <c r="C279" i="1"/>
  <c r="M279" i="1" s="1"/>
  <c r="O279" i="1" s="1"/>
  <c r="C280" i="1"/>
  <c r="C281" i="1"/>
  <c r="M281" i="1" s="1"/>
  <c r="O281" i="1" s="1"/>
  <c r="C282" i="1"/>
  <c r="C283" i="1"/>
  <c r="C284" i="1"/>
  <c r="C285" i="1"/>
  <c r="M285" i="1" s="1"/>
  <c r="O285" i="1" s="1"/>
  <c r="C286" i="1"/>
  <c r="M286" i="1" s="1"/>
  <c r="O286" i="1" s="1"/>
  <c r="C287" i="1"/>
  <c r="C288" i="1"/>
  <c r="C289" i="1"/>
  <c r="M289" i="1" s="1"/>
  <c r="O289" i="1" s="1"/>
  <c r="C290" i="1"/>
  <c r="C291" i="1"/>
  <c r="C292" i="1"/>
  <c r="C293" i="1"/>
  <c r="M293" i="1" s="1"/>
  <c r="O293" i="1" s="1"/>
  <c r="C294" i="1"/>
  <c r="M294" i="1" s="1"/>
  <c r="O294" i="1" s="1"/>
  <c r="C295" i="1"/>
  <c r="C296" i="1"/>
  <c r="C297" i="1"/>
  <c r="M297" i="1" s="1"/>
  <c r="O297" i="1" s="1"/>
  <c r="C298" i="1"/>
  <c r="C299" i="1"/>
  <c r="C300" i="1"/>
  <c r="C301" i="1"/>
  <c r="C302" i="1"/>
  <c r="C303" i="1"/>
  <c r="M303" i="1" s="1"/>
  <c r="O303" i="1" s="1"/>
  <c r="C304" i="1"/>
  <c r="C305" i="1"/>
  <c r="M305" i="1" s="1"/>
  <c r="O305" i="1" s="1"/>
  <c r="C306" i="1"/>
  <c r="C307" i="1"/>
  <c r="C308" i="1"/>
  <c r="C309" i="1"/>
  <c r="M309" i="1" s="1"/>
  <c r="O309" i="1" s="1"/>
  <c r="C310" i="1"/>
  <c r="C311" i="1"/>
  <c r="M311" i="1" s="1"/>
  <c r="O311" i="1" s="1"/>
  <c r="C312" i="1"/>
  <c r="C313" i="1"/>
  <c r="M313" i="1" s="1"/>
  <c r="O313" i="1" s="1"/>
  <c r="C314" i="1"/>
  <c r="C315" i="1"/>
  <c r="C316" i="1"/>
  <c r="C317" i="1"/>
  <c r="M317" i="1" s="1"/>
  <c r="O317" i="1" s="1"/>
  <c r="C318" i="1"/>
  <c r="M318" i="1" s="1"/>
  <c r="O318" i="1" s="1"/>
  <c r="C319" i="1"/>
  <c r="C320" i="1"/>
  <c r="C321" i="1"/>
  <c r="M321" i="1" s="1"/>
  <c r="O321" i="1" s="1"/>
  <c r="C322" i="1"/>
  <c r="M322" i="1" s="1"/>
  <c r="O322" i="1" s="1"/>
  <c r="C323" i="1"/>
  <c r="C324" i="1"/>
  <c r="C325" i="1"/>
  <c r="M325" i="1" s="1"/>
  <c r="O325" i="1" s="1"/>
  <c r="C326" i="1"/>
  <c r="C327" i="1"/>
  <c r="C328" i="1"/>
  <c r="C329" i="1"/>
  <c r="M329" i="1" s="1"/>
  <c r="C330" i="1"/>
  <c r="C331" i="1"/>
  <c r="C332" i="1"/>
  <c r="C333" i="1"/>
  <c r="C334" i="1"/>
  <c r="C335" i="1"/>
  <c r="M335" i="1" s="1"/>
  <c r="O335" i="1" s="1"/>
  <c r="C336" i="1"/>
  <c r="C337" i="1"/>
  <c r="M337" i="1" s="1"/>
  <c r="C338" i="1"/>
  <c r="M338" i="1" s="1"/>
  <c r="O338" i="1" s="1"/>
  <c r="C339" i="1"/>
  <c r="C340" i="1"/>
  <c r="C341" i="1"/>
  <c r="M341" i="1" s="1"/>
  <c r="O341" i="1" s="1"/>
  <c r="C342" i="1"/>
  <c r="C343" i="1"/>
  <c r="C344" i="1"/>
  <c r="C345" i="1"/>
  <c r="M345" i="1" s="1"/>
  <c r="O345" i="1" s="1"/>
  <c r="C346" i="1"/>
  <c r="C347" i="1"/>
  <c r="M347" i="1" s="1"/>
  <c r="O347" i="1" s="1"/>
  <c r="C348" i="1"/>
  <c r="C349" i="1"/>
  <c r="M349" i="1" s="1"/>
  <c r="O349" i="1" s="1"/>
  <c r="C350" i="1"/>
  <c r="C351" i="1"/>
  <c r="C352" i="1"/>
  <c r="C353" i="1"/>
  <c r="M353" i="1" s="1"/>
  <c r="O353" i="1" s="1"/>
  <c r="C354" i="1"/>
  <c r="C355" i="1"/>
  <c r="M355" i="1" s="1"/>
  <c r="O355" i="1" s="1"/>
  <c r="C356" i="1"/>
  <c r="C357" i="1"/>
  <c r="C358" i="1"/>
  <c r="C359" i="1"/>
  <c r="C360" i="1"/>
  <c r="C361" i="1"/>
  <c r="C362" i="1"/>
  <c r="C363" i="1"/>
  <c r="M363" i="1" s="1"/>
  <c r="C364" i="1"/>
  <c r="L364" i="1" s="1"/>
  <c r="N364" i="1" s="1"/>
  <c r="C365" i="1"/>
  <c r="C366" i="1"/>
  <c r="C367" i="1"/>
  <c r="C368" i="1"/>
  <c r="C369" i="1"/>
  <c r="M369" i="1" s="1"/>
  <c r="O369" i="1" s="1"/>
  <c r="C370" i="1"/>
  <c r="M370" i="1" s="1"/>
  <c r="O370" i="1" s="1"/>
  <c r="C371" i="1"/>
  <c r="C372" i="1"/>
  <c r="L372" i="1" s="1"/>
  <c r="N372" i="1" s="1"/>
  <c r="C373" i="1"/>
  <c r="L373" i="1" s="1"/>
  <c r="N373" i="1" s="1"/>
  <c r="C374" i="1"/>
  <c r="M374" i="1" s="1"/>
  <c r="O374" i="1" s="1"/>
  <c r="C375" i="1"/>
  <c r="C376" i="1"/>
  <c r="L376" i="1" s="1"/>
  <c r="C377" i="1"/>
  <c r="M377" i="1" s="1"/>
  <c r="O377" i="1" s="1"/>
  <c r="C378" i="1"/>
  <c r="C379" i="1"/>
  <c r="M379" i="1" s="1"/>
  <c r="C380" i="1"/>
  <c r="L380" i="1" s="1"/>
  <c r="N380" i="1" s="1"/>
  <c r="C381" i="1"/>
  <c r="M381" i="1" s="1"/>
  <c r="O381" i="1" s="1"/>
  <c r="C382" i="1"/>
  <c r="C383" i="1"/>
  <c r="C384" i="1"/>
  <c r="L384" i="1" s="1"/>
  <c r="N384" i="1" s="1"/>
  <c r="C385" i="1"/>
  <c r="M385" i="1" s="1"/>
  <c r="O385" i="1" s="1"/>
  <c r="C386" i="1"/>
  <c r="C387" i="1"/>
  <c r="M387" i="1" s="1"/>
  <c r="O387" i="1" s="1"/>
  <c r="C388" i="1"/>
  <c r="L388" i="1" s="1"/>
  <c r="C389" i="1"/>
  <c r="L389" i="1" s="1"/>
  <c r="N389" i="1" s="1"/>
  <c r="C390" i="1"/>
  <c r="M390" i="1" s="1"/>
  <c r="O390" i="1" s="1"/>
  <c r="C391" i="1"/>
  <c r="C392" i="1"/>
  <c r="L392" i="1" s="1"/>
  <c r="N392" i="1" s="1"/>
  <c r="C393" i="1"/>
  <c r="M393" i="1" s="1"/>
  <c r="O393" i="1" s="1"/>
  <c r="C394" i="1"/>
  <c r="C395" i="1"/>
  <c r="M395" i="1" s="1"/>
  <c r="O395" i="1" s="1"/>
  <c r="C396" i="1"/>
  <c r="L396" i="1" s="1"/>
  <c r="N396" i="1" s="1"/>
  <c r="C397" i="1"/>
  <c r="C398" i="1"/>
  <c r="C399" i="1"/>
  <c r="C400" i="1"/>
  <c r="L400" i="1" s="1"/>
  <c r="N400" i="1" s="1"/>
  <c r="C401" i="1"/>
  <c r="M401" i="1" s="1"/>
  <c r="O401" i="1" s="1"/>
  <c r="C402" i="1"/>
  <c r="C403" i="1"/>
  <c r="C404" i="1"/>
  <c r="L404" i="1" s="1"/>
  <c r="N404" i="1" s="1"/>
  <c r="C405" i="1"/>
  <c r="L405" i="1" s="1"/>
  <c r="N405" i="1" s="1"/>
  <c r="C406" i="1"/>
  <c r="M406" i="1" s="1"/>
  <c r="O406" i="1" s="1"/>
  <c r="C407" i="1"/>
  <c r="M407" i="1" s="1"/>
  <c r="C408" i="1"/>
  <c r="L408" i="1" s="1"/>
  <c r="N408" i="1" s="1"/>
  <c r="P408" i="1" s="1"/>
  <c r="C409" i="1"/>
  <c r="M409" i="1" s="1"/>
  <c r="O409" i="1" s="1"/>
  <c r="C410" i="1"/>
  <c r="C411" i="1"/>
  <c r="C412" i="1"/>
  <c r="L412" i="1" s="1"/>
  <c r="N412" i="1" s="1"/>
  <c r="C413" i="1"/>
  <c r="M413" i="1" s="1"/>
  <c r="O413" i="1" s="1"/>
  <c r="C414" i="1"/>
  <c r="M414" i="1" s="1"/>
  <c r="O414" i="1" s="1"/>
  <c r="C415" i="1"/>
  <c r="C416" i="1"/>
  <c r="C417" i="1"/>
  <c r="M417" i="1" s="1"/>
  <c r="O417" i="1" s="1"/>
  <c r="C418" i="1"/>
  <c r="C419" i="1"/>
  <c r="C420" i="1"/>
  <c r="L420" i="1" s="1"/>
  <c r="N420" i="1" s="1"/>
  <c r="C421" i="1"/>
  <c r="L421" i="1" s="1"/>
  <c r="N421" i="1" s="1"/>
  <c r="C422" i="1"/>
  <c r="M422" i="1" s="1"/>
  <c r="O422" i="1" s="1"/>
  <c r="C423" i="1"/>
  <c r="C424" i="1"/>
  <c r="L424" i="1" s="1"/>
  <c r="N424" i="1" s="1"/>
  <c r="C425" i="1"/>
  <c r="C426" i="1"/>
  <c r="C427" i="1"/>
  <c r="C428" i="1"/>
  <c r="L428" i="1" s="1"/>
  <c r="N428" i="1" s="1"/>
  <c r="C429" i="1"/>
  <c r="C430" i="1"/>
  <c r="C431" i="1"/>
  <c r="M431" i="1" s="1"/>
  <c r="C432" i="1"/>
  <c r="L432" i="1" s="1"/>
  <c r="N432" i="1" s="1"/>
  <c r="C433" i="1"/>
  <c r="M433" i="1" s="1"/>
  <c r="O433" i="1" s="1"/>
  <c r="C434" i="1"/>
  <c r="C435" i="1"/>
  <c r="C436" i="1"/>
  <c r="L436" i="1" s="1"/>
  <c r="C437" i="1"/>
  <c r="L437" i="1" s="1"/>
  <c r="N437" i="1" s="1"/>
  <c r="C438" i="1"/>
  <c r="C439" i="1"/>
  <c r="M439" i="1" s="1"/>
  <c r="O439" i="1" s="1"/>
  <c r="C440" i="1"/>
  <c r="L440" i="1" s="1"/>
  <c r="N440" i="1" s="1"/>
  <c r="C441" i="1"/>
  <c r="M441" i="1" s="1"/>
  <c r="O441" i="1" s="1"/>
  <c r="C442" i="1"/>
  <c r="C443" i="1"/>
  <c r="C444" i="1"/>
  <c r="L444" i="1" s="1"/>
  <c r="N444" i="1" s="1"/>
  <c r="C445" i="1"/>
  <c r="C446" i="1"/>
  <c r="C447" i="1"/>
  <c r="C448" i="1"/>
  <c r="C449" i="1"/>
  <c r="M449" i="1" s="1"/>
  <c r="O449" i="1" s="1"/>
  <c r="C450" i="1"/>
  <c r="M450" i="1" s="1"/>
  <c r="O450" i="1" s="1"/>
  <c r="C451" i="1"/>
  <c r="C452" i="1"/>
  <c r="L452" i="1" s="1"/>
  <c r="N452" i="1" s="1"/>
  <c r="C453" i="1"/>
  <c r="L453" i="1" s="1"/>
  <c r="N453" i="1" s="1"/>
  <c r="C454" i="1"/>
  <c r="C455" i="1"/>
  <c r="C456" i="1"/>
  <c r="L456" i="1" s="1"/>
  <c r="N456" i="1" s="1"/>
  <c r="C457" i="1"/>
  <c r="M457" i="1" s="1"/>
  <c r="O457" i="1" s="1"/>
  <c r="C458" i="1"/>
  <c r="M458" i="1" s="1"/>
  <c r="O458" i="1" s="1"/>
  <c r="C459" i="1"/>
  <c r="C460" i="1"/>
  <c r="L460" i="1" s="1"/>
  <c r="N460" i="1" s="1"/>
  <c r="C461" i="1"/>
  <c r="C462" i="1"/>
  <c r="C463" i="1"/>
  <c r="M463" i="1" s="1"/>
  <c r="O463" i="1" s="1"/>
  <c r="P463" i="1" s="1"/>
  <c r="C464" i="1"/>
  <c r="L464" i="1" s="1"/>
  <c r="N464" i="1" s="1"/>
  <c r="C465" i="1"/>
  <c r="M465" i="1" s="1"/>
  <c r="O465" i="1" s="1"/>
  <c r="C466" i="1"/>
  <c r="M466" i="1" s="1"/>
  <c r="O466" i="1" s="1"/>
  <c r="C467" i="1"/>
  <c r="C468" i="1"/>
  <c r="L468" i="1" s="1"/>
  <c r="N468" i="1" s="1"/>
  <c r="C469" i="1"/>
  <c r="L469" i="1" s="1"/>
  <c r="N469" i="1" s="1"/>
  <c r="C470" i="1"/>
  <c r="C471" i="1"/>
  <c r="C472" i="1"/>
  <c r="L472" i="1" s="1"/>
  <c r="N472" i="1" s="1"/>
  <c r="C473" i="1"/>
  <c r="M473" i="1" s="1"/>
  <c r="O473" i="1" s="1"/>
  <c r="C474" i="1"/>
  <c r="C475" i="1"/>
  <c r="M475" i="1" s="1"/>
  <c r="C476" i="1"/>
  <c r="L476" i="1" s="1"/>
  <c r="N476" i="1" s="1"/>
  <c r="C477" i="1"/>
  <c r="M477" i="1" s="1"/>
  <c r="O477" i="1" s="1"/>
  <c r="C478" i="1"/>
  <c r="C479" i="1"/>
  <c r="C480" i="1"/>
  <c r="L480" i="1" s="1"/>
  <c r="C481" i="1"/>
  <c r="M481" i="1" s="1"/>
  <c r="O481" i="1" s="1"/>
  <c r="C482" i="1"/>
  <c r="M482" i="1" s="1"/>
  <c r="O482" i="1" s="1"/>
  <c r="C483" i="1"/>
  <c r="M483" i="1" s="1"/>
  <c r="C484" i="1"/>
  <c r="L484" i="1" s="1"/>
  <c r="N484" i="1" s="1"/>
  <c r="C485" i="1"/>
  <c r="L485" i="1" s="1"/>
  <c r="N485" i="1" s="1"/>
  <c r="C486" i="1"/>
  <c r="C487" i="1"/>
  <c r="C488" i="1"/>
  <c r="L488" i="1" s="1"/>
  <c r="N488" i="1" s="1"/>
  <c r="C489" i="1"/>
  <c r="C490" i="1"/>
  <c r="C491" i="1"/>
  <c r="M491" i="1" s="1"/>
  <c r="O491" i="1" s="1"/>
  <c r="P491" i="1" s="1"/>
  <c r="C492" i="1"/>
  <c r="L492" i="1" s="1"/>
  <c r="N492" i="1" s="1"/>
  <c r="C493" i="1"/>
  <c r="C494" i="1"/>
  <c r="C495" i="1"/>
  <c r="C496" i="1"/>
  <c r="L496" i="1" s="1"/>
  <c r="N496" i="1" s="1"/>
  <c r="C497" i="1"/>
  <c r="M497" i="1" s="1"/>
  <c r="O497" i="1" s="1"/>
  <c r="C498" i="1"/>
  <c r="M498" i="1" s="1"/>
  <c r="O498" i="1" s="1"/>
  <c r="C499" i="1"/>
  <c r="C500" i="1"/>
  <c r="L500" i="1" s="1"/>
  <c r="N500" i="1" s="1"/>
  <c r="C501" i="1"/>
  <c r="L501" i="1" s="1"/>
  <c r="N501" i="1" s="1"/>
  <c r="L2" i="1"/>
  <c r="N2" i="1" s="1"/>
  <c r="P2" i="1" s="1"/>
  <c r="L11" i="1"/>
  <c r="N11" i="1" s="1"/>
  <c r="P11" i="1" s="1"/>
  <c r="L23" i="1"/>
  <c r="N23" i="1" s="1"/>
  <c r="P23" i="1" s="1"/>
  <c r="L41" i="1"/>
  <c r="N41" i="1" s="1"/>
  <c r="P41" i="1" s="1"/>
  <c r="L46" i="1"/>
  <c r="N46" i="1" s="1"/>
  <c r="P46" i="1" s="1"/>
  <c r="L89" i="1"/>
  <c r="N89" i="1" s="1"/>
  <c r="P89" i="1" s="1"/>
  <c r="L91" i="1"/>
  <c r="N91" i="1" s="1"/>
  <c r="P91" i="1" s="1"/>
  <c r="L118" i="1"/>
  <c r="N118" i="1" s="1"/>
  <c r="P118" i="1" s="1"/>
  <c r="L131" i="1"/>
  <c r="N131" i="1" s="1"/>
  <c r="P131" i="1" s="1"/>
  <c r="L151" i="1"/>
  <c r="N151" i="1" s="1"/>
  <c r="P151" i="1" s="1"/>
  <c r="L183" i="1"/>
  <c r="N183" i="1" s="1"/>
  <c r="P183" i="1" s="1"/>
  <c r="L217" i="1"/>
  <c r="N217" i="1" s="1"/>
  <c r="P217" i="1" s="1"/>
  <c r="L227" i="1"/>
  <c r="N227" i="1" s="1"/>
  <c r="P227" i="1" s="1"/>
  <c r="L246" i="1"/>
  <c r="N246" i="1" s="1"/>
  <c r="P246" i="1" s="1"/>
  <c r="L259" i="1"/>
  <c r="N259" i="1" s="1"/>
  <c r="P259" i="1" s="1"/>
  <c r="L294" i="1"/>
  <c r="N294" i="1" s="1"/>
  <c r="P294" i="1" s="1"/>
  <c r="L303" i="1"/>
  <c r="N303" i="1" s="1"/>
  <c r="P303" i="1" s="1"/>
  <c r="L322" i="1"/>
  <c r="N322" i="1" s="1"/>
  <c r="P322" i="1" s="1"/>
  <c r="L335" i="1"/>
  <c r="N335" i="1" s="1"/>
  <c r="P335" i="1" s="1"/>
  <c r="L355" i="1"/>
  <c r="N355" i="1" s="1"/>
  <c r="P355" i="1" s="1"/>
  <c r="L363" i="1"/>
  <c r="N363" i="1" s="1"/>
  <c r="L379" i="1"/>
  <c r="N379" i="1" s="1"/>
  <c r="L431" i="1"/>
  <c r="N431" i="1" s="1"/>
  <c r="P431" i="1" s="1"/>
  <c r="L441" i="1"/>
  <c r="N441" i="1" s="1"/>
  <c r="P441" i="1" s="1"/>
  <c r="L458" i="1"/>
  <c r="N458" i="1" s="1"/>
  <c r="L463" i="1"/>
  <c r="N463" i="1" s="1"/>
  <c r="L475" i="1"/>
  <c r="N475" i="1" s="1"/>
  <c r="P475" i="1" s="1"/>
  <c r="L491" i="1"/>
  <c r="N491"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2" i="1"/>
  <c r="P376" i="1" l="1"/>
  <c r="M489" i="1"/>
  <c r="O489" i="1" s="1"/>
  <c r="L489" i="1"/>
  <c r="N489" i="1" s="1"/>
  <c r="P489" i="1" s="1"/>
  <c r="M445" i="1"/>
  <c r="O445" i="1" s="1"/>
  <c r="L445" i="1"/>
  <c r="N445" i="1" s="1"/>
  <c r="P445" i="1" s="1"/>
  <c r="M425" i="1"/>
  <c r="O425" i="1" s="1"/>
  <c r="L425" i="1"/>
  <c r="N425" i="1" s="1"/>
  <c r="P425" i="1" s="1"/>
  <c r="M361" i="1"/>
  <c r="O361" i="1" s="1"/>
  <c r="L361" i="1"/>
  <c r="N361" i="1" s="1"/>
  <c r="M169" i="1"/>
  <c r="O169" i="1" s="1"/>
  <c r="L169" i="1"/>
  <c r="N169" i="1" s="1"/>
  <c r="P169" i="1" s="1"/>
  <c r="M73" i="1"/>
  <c r="O73" i="1" s="1"/>
  <c r="L73" i="1"/>
  <c r="N73" i="1" s="1"/>
  <c r="L377" i="1"/>
  <c r="N377" i="1" s="1"/>
  <c r="P377" i="1" s="1"/>
  <c r="L157" i="1"/>
  <c r="N157" i="1" s="1"/>
  <c r="P157" i="1" s="1"/>
  <c r="P496" i="1"/>
  <c r="P488" i="1"/>
  <c r="P464" i="1"/>
  <c r="L448" i="1"/>
  <c r="N448" i="1" s="1"/>
  <c r="P448" i="1" s="1"/>
  <c r="M448" i="1"/>
  <c r="O448" i="1" s="1"/>
  <c r="L416" i="1"/>
  <c r="N416" i="1" s="1"/>
  <c r="P416" i="1" s="1"/>
  <c r="M416" i="1"/>
  <c r="O416" i="1" s="1"/>
  <c r="P400" i="1"/>
  <c r="L368" i="1"/>
  <c r="N368" i="1" s="1"/>
  <c r="M368" i="1"/>
  <c r="O368" i="1" s="1"/>
  <c r="P364" i="1"/>
  <c r="M464" i="1"/>
  <c r="O464" i="1" s="1"/>
  <c r="L395" i="1"/>
  <c r="N395" i="1" s="1"/>
  <c r="P395" i="1" s="1"/>
  <c r="L311" i="1"/>
  <c r="N311" i="1" s="1"/>
  <c r="P311" i="1" s="1"/>
  <c r="M490" i="1"/>
  <c r="O490" i="1" s="1"/>
  <c r="L490" i="1"/>
  <c r="N490" i="1" s="1"/>
  <c r="M398" i="1"/>
  <c r="O398" i="1" s="1"/>
  <c r="L398" i="1"/>
  <c r="N398" i="1" s="1"/>
  <c r="P398" i="1" s="1"/>
  <c r="M354" i="1"/>
  <c r="O354" i="1" s="1"/>
  <c r="L354" i="1"/>
  <c r="N354" i="1" s="1"/>
  <c r="M190" i="1"/>
  <c r="O190" i="1" s="1"/>
  <c r="L190" i="1"/>
  <c r="N190" i="1" s="1"/>
  <c r="P190" i="1" s="1"/>
  <c r="M150" i="1"/>
  <c r="O150" i="1" s="1"/>
  <c r="L150" i="1"/>
  <c r="N150" i="1" s="1"/>
  <c r="M114" i="1"/>
  <c r="O114" i="1" s="1"/>
  <c r="L114" i="1"/>
  <c r="N114" i="1" s="1"/>
  <c r="P114" i="1" s="1"/>
  <c r="M106" i="1"/>
  <c r="O106" i="1" s="1"/>
  <c r="L106" i="1"/>
  <c r="N106" i="1" s="1"/>
  <c r="L482" i="1"/>
  <c r="N482" i="1" s="1"/>
  <c r="P482" i="1" s="1"/>
  <c r="M446" i="1"/>
  <c r="O446" i="1" s="1"/>
  <c r="L446" i="1"/>
  <c r="N446" i="1" s="1"/>
  <c r="P446" i="1" s="1"/>
  <c r="M430" i="1"/>
  <c r="O430" i="1" s="1"/>
  <c r="L430" i="1"/>
  <c r="N430" i="1" s="1"/>
  <c r="M362" i="1"/>
  <c r="O362" i="1" s="1"/>
  <c r="L362" i="1"/>
  <c r="N362" i="1" s="1"/>
  <c r="P362" i="1" s="1"/>
  <c r="M330" i="1"/>
  <c r="O330" i="1" s="1"/>
  <c r="L330" i="1"/>
  <c r="N330" i="1" s="1"/>
  <c r="P330" i="1" s="1"/>
  <c r="M302" i="1"/>
  <c r="O302" i="1" s="1"/>
  <c r="L302" i="1"/>
  <c r="N302" i="1" s="1"/>
  <c r="P302" i="1" s="1"/>
  <c r="M278" i="1"/>
  <c r="O278" i="1" s="1"/>
  <c r="L278" i="1"/>
  <c r="N278" i="1" s="1"/>
  <c r="P278" i="1" s="1"/>
  <c r="M210" i="1"/>
  <c r="O210" i="1" s="1"/>
  <c r="L210" i="1"/>
  <c r="N210" i="1" s="1"/>
  <c r="P210" i="1" s="1"/>
  <c r="M166" i="1"/>
  <c r="O166" i="1" s="1"/>
  <c r="L166" i="1"/>
  <c r="N166" i="1" s="1"/>
  <c r="P166" i="1" s="1"/>
  <c r="M158" i="1"/>
  <c r="O158" i="1" s="1"/>
  <c r="L158" i="1"/>
  <c r="N158" i="1" s="1"/>
  <c r="P158" i="1" s="1"/>
  <c r="M142" i="1"/>
  <c r="O142" i="1" s="1"/>
  <c r="L142" i="1"/>
  <c r="N142" i="1" s="1"/>
  <c r="P142" i="1" s="1"/>
  <c r="M82" i="1"/>
  <c r="O82" i="1" s="1"/>
  <c r="L82" i="1"/>
  <c r="N82" i="1" s="1"/>
  <c r="P82" i="1" s="1"/>
  <c r="M74" i="1"/>
  <c r="O74" i="1" s="1"/>
  <c r="L74" i="1"/>
  <c r="N74" i="1" s="1"/>
  <c r="P74" i="1" s="1"/>
  <c r="M66" i="1"/>
  <c r="O66" i="1" s="1"/>
  <c r="L66" i="1"/>
  <c r="N66" i="1" s="1"/>
  <c r="P66" i="1" s="1"/>
  <c r="M38" i="1"/>
  <c r="O38" i="1" s="1"/>
  <c r="L38" i="1"/>
  <c r="N38" i="1" s="1"/>
  <c r="P38" i="1" s="1"/>
  <c r="M22" i="1"/>
  <c r="O22" i="1" s="1"/>
  <c r="L22" i="1"/>
  <c r="N22" i="1" s="1"/>
  <c r="P22" i="1" s="1"/>
  <c r="M6" i="1"/>
  <c r="O6" i="1" s="1"/>
  <c r="L6" i="1"/>
  <c r="N6" i="1" s="1"/>
  <c r="P6" i="1" s="1"/>
  <c r="L414" i="1"/>
  <c r="N414" i="1" s="1"/>
  <c r="P414" i="1" s="1"/>
  <c r="L318" i="1"/>
  <c r="N318" i="1" s="1"/>
  <c r="P318" i="1" s="1"/>
  <c r="L286" i="1"/>
  <c r="N286" i="1" s="1"/>
  <c r="P286" i="1" s="1"/>
  <c r="L242" i="1"/>
  <c r="N242" i="1" s="1"/>
  <c r="P242" i="1" s="1"/>
  <c r="L194" i="1"/>
  <c r="N194" i="1" s="1"/>
  <c r="P194" i="1" s="1"/>
  <c r="L370" i="1"/>
  <c r="N370" i="1" s="1"/>
  <c r="P370" i="1" s="1"/>
  <c r="L338" i="1"/>
  <c r="N338" i="1" s="1"/>
  <c r="P338" i="1" s="1"/>
  <c r="L270" i="1"/>
  <c r="N270" i="1" s="1"/>
  <c r="P270" i="1" s="1"/>
  <c r="L134" i="1"/>
  <c r="N134" i="1" s="1"/>
  <c r="P134" i="1" s="1"/>
  <c r="L390" i="1"/>
  <c r="N390" i="1" s="1"/>
  <c r="P390" i="1" s="1"/>
  <c r="L226" i="1"/>
  <c r="N226" i="1" s="1"/>
  <c r="P226" i="1" s="1"/>
  <c r="L457" i="1"/>
  <c r="N457" i="1" s="1"/>
  <c r="P457" i="1" s="1"/>
  <c r="L413" i="1"/>
  <c r="N413" i="1" s="1"/>
  <c r="P413" i="1" s="1"/>
  <c r="L381" i="1"/>
  <c r="N381" i="1" s="1"/>
  <c r="P381" i="1" s="1"/>
  <c r="L317" i="1"/>
  <c r="N317" i="1" s="1"/>
  <c r="P317" i="1" s="1"/>
  <c r="L285" i="1"/>
  <c r="N285" i="1" s="1"/>
  <c r="P285" i="1" s="1"/>
  <c r="L253" i="1"/>
  <c r="N253" i="1" s="1"/>
  <c r="P253" i="1" s="1"/>
  <c r="L233" i="1"/>
  <c r="N233" i="1" s="1"/>
  <c r="P233" i="1" s="1"/>
  <c r="L189" i="1"/>
  <c r="N189" i="1" s="1"/>
  <c r="P189" i="1" s="1"/>
  <c r="L125" i="1"/>
  <c r="N125" i="1" s="1"/>
  <c r="P125" i="1" s="1"/>
  <c r="L61" i="1"/>
  <c r="N61" i="1" s="1"/>
  <c r="P61" i="1" s="1"/>
  <c r="M480" i="1"/>
  <c r="O480" i="1" s="1"/>
  <c r="P480" i="1" s="1"/>
  <c r="M440" i="1"/>
  <c r="O440" i="1" s="1"/>
  <c r="P440" i="1" s="1"/>
  <c r="M400" i="1"/>
  <c r="O400" i="1" s="1"/>
  <c r="L473" i="1"/>
  <c r="N473" i="1" s="1"/>
  <c r="P473" i="1" s="1"/>
  <c r="L345" i="1"/>
  <c r="N345" i="1" s="1"/>
  <c r="P345" i="1" s="1"/>
  <c r="L329" i="1"/>
  <c r="N329" i="1" s="1"/>
  <c r="P329" i="1" s="1"/>
  <c r="L313" i="1"/>
  <c r="N313" i="1" s="1"/>
  <c r="P313" i="1" s="1"/>
  <c r="L297" i="1"/>
  <c r="N297" i="1" s="1"/>
  <c r="P297" i="1" s="1"/>
  <c r="L249" i="1"/>
  <c r="N249" i="1" s="1"/>
  <c r="P249" i="1" s="1"/>
  <c r="L201" i="1"/>
  <c r="N201" i="1" s="1"/>
  <c r="P201" i="1" s="1"/>
  <c r="L185" i="1"/>
  <c r="N185" i="1" s="1"/>
  <c r="P185" i="1" s="1"/>
  <c r="L121" i="1"/>
  <c r="N121" i="1" s="1"/>
  <c r="P121" i="1" s="1"/>
  <c r="L105" i="1"/>
  <c r="N105" i="1" s="1"/>
  <c r="P105" i="1" s="1"/>
  <c r="L57" i="1"/>
  <c r="N57" i="1" s="1"/>
  <c r="P57" i="1" s="1"/>
  <c r="L29" i="1"/>
  <c r="N29" i="1" s="1"/>
  <c r="P29" i="1" s="1"/>
  <c r="M472" i="1"/>
  <c r="O472" i="1" s="1"/>
  <c r="P472" i="1" s="1"/>
  <c r="M432" i="1"/>
  <c r="O432" i="1" s="1"/>
  <c r="P432" i="1" s="1"/>
  <c r="M384" i="1"/>
  <c r="O384" i="1" s="1"/>
  <c r="P384" i="1" s="1"/>
  <c r="M487" i="1"/>
  <c r="O487" i="1" s="1"/>
  <c r="L487" i="1"/>
  <c r="N487" i="1" s="1"/>
  <c r="M467" i="1"/>
  <c r="O467" i="1" s="1"/>
  <c r="L467" i="1"/>
  <c r="N467" i="1" s="1"/>
  <c r="M459" i="1"/>
  <c r="O459" i="1" s="1"/>
  <c r="L459" i="1"/>
  <c r="N459" i="1" s="1"/>
  <c r="P459" i="1" s="1"/>
  <c r="M451" i="1"/>
  <c r="O451" i="1" s="1"/>
  <c r="L451" i="1"/>
  <c r="N451" i="1" s="1"/>
  <c r="M435" i="1"/>
  <c r="O435" i="1" s="1"/>
  <c r="L435" i="1"/>
  <c r="N435" i="1" s="1"/>
  <c r="P435" i="1" s="1"/>
  <c r="M427" i="1"/>
  <c r="O427" i="1" s="1"/>
  <c r="L427" i="1"/>
  <c r="N427" i="1" s="1"/>
  <c r="M419" i="1"/>
  <c r="O419" i="1" s="1"/>
  <c r="L419" i="1"/>
  <c r="N419" i="1" s="1"/>
  <c r="P419" i="1" s="1"/>
  <c r="M415" i="1"/>
  <c r="O415" i="1" s="1"/>
  <c r="L415" i="1"/>
  <c r="N415" i="1" s="1"/>
  <c r="M411" i="1"/>
  <c r="O411" i="1" s="1"/>
  <c r="L411" i="1"/>
  <c r="N411" i="1" s="1"/>
  <c r="P411" i="1" s="1"/>
  <c r="M403" i="1"/>
  <c r="O403" i="1" s="1"/>
  <c r="L403" i="1"/>
  <c r="N403" i="1" s="1"/>
  <c r="M399" i="1"/>
  <c r="O399" i="1" s="1"/>
  <c r="L399" i="1"/>
  <c r="N399" i="1" s="1"/>
  <c r="P399" i="1" s="1"/>
  <c r="M383" i="1"/>
  <c r="O383" i="1" s="1"/>
  <c r="L383" i="1"/>
  <c r="N383" i="1" s="1"/>
  <c r="M375" i="1"/>
  <c r="O375" i="1" s="1"/>
  <c r="L375" i="1"/>
  <c r="N375" i="1" s="1"/>
  <c r="P375" i="1" s="1"/>
  <c r="M359" i="1"/>
  <c r="O359" i="1" s="1"/>
  <c r="L359" i="1"/>
  <c r="N359" i="1" s="1"/>
  <c r="M327" i="1"/>
  <c r="O327" i="1" s="1"/>
  <c r="L327" i="1"/>
  <c r="N327" i="1" s="1"/>
  <c r="P327" i="1" s="1"/>
  <c r="M319" i="1"/>
  <c r="O319" i="1" s="1"/>
  <c r="L319" i="1"/>
  <c r="N319" i="1" s="1"/>
  <c r="M315" i="1"/>
  <c r="O315" i="1" s="1"/>
  <c r="L315" i="1"/>
  <c r="N315" i="1" s="1"/>
  <c r="P315" i="1" s="1"/>
  <c r="M295" i="1"/>
  <c r="O295" i="1" s="1"/>
  <c r="L295" i="1"/>
  <c r="N295" i="1" s="1"/>
  <c r="M287" i="1"/>
  <c r="O287" i="1" s="1"/>
  <c r="L287" i="1"/>
  <c r="N287" i="1" s="1"/>
  <c r="P287" i="1" s="1"/>
  <c r="M283" i="1"/>
  <c r="O283" i="1" s="1"/>
  <c r="L283" i="1"/>
  <c r="N283" i="1" s="1"/>
  <c r="M275" i="1"/>
  <c r="O275" i="1" s="1"/>
  <c r="L275" i="1"/>
  <c r="N275" i="1" s="1"/>
  <c r="P275" i="1" s="1"/>
  <c r="M271" i="1"/>
  <c r="O271" i="1" s="1"/>
  <c r="L271" i="1"/>
  <c r="N271" i="1" s="1"/>
  <c r="M255" i="1"/>
  <c r="O255" i="1" s="1"/>
  <c r="L255" i="1"/>
  <c r="N255" i="1" s="1"/>
  <c r="P255" i="1" s="1"/>
  <c r="M247" i="1"/>
  <c r="O247" i="1" s="1"/>
  <c r="L247" i="1"/>
  <c r="N247" i="1" s="1"/>
  <c r="M231" i="1"/>
  <c r="O231" i="1" s="1"/>
  <c r="L231" i="1"/>
  <c r="N231" i="1" s="1"/>
  <c r="P231" i="1" s="1"/>
  <c r="M215" i="1"/>
  <c r="O215" i="1" s="1"/>
  <c r="L215" i="1"/>
  <c r="N215" i="1" s="1"/>
  <c r="M211" i="1"/>
  <c r="O211" i="1" s="1"/>
  <c r="L211" i="1"/>
  <c r="N211" i="1" s="1"/>
  <c r="P211" i="1" s="1"/>
  <c r="M203" i="1"/>
  <c r="O203" i="1" s="1"/>
  <c r="L203" i="1"/>
  <c r="N203" i="1" s="1"/>
  <c r="M195" i="1"/>
  <c r="O195" i="1" s="1"/>
  <c r="L195" i="1"/>
  <c r="N195" i="1" s="1"/>
  <c r="P195" i="1" s="1"/>
  <c r="M179" i="1"/>
  <c r="O179" i="1" s="1"/>
  <c r="L179" i="1"/>
  <c r="N179" i="1" s="1"/>
  <c r="M171" i="1"/>
  <c r="O171" i="1" s="1"/>
  <c r="L171" i="1"/>
  <c r="N171" i="1" s="1"/>
  <c r="P171" i="1" s="1"/>
  <c r="M159" i="1"/>
  <c r="O159" i="1" s="1"/>
  <c r="L159" i="1"/>
  <c r="N159" i="1" s="1"/>
  <c r="M155" i="1"/>
  <c r="O155" i="1" s="1"/>
  <c r="L155" i="1"/>
  <c r="N155" i="1" s="1"/>
  <c r="P155" i="1" s="1"/>
  <c r="M147" i="1"/>
  <c r="O147" i="1" s="1"/>
  <c r="L147" i="1"/>
  <c r="N147" i="1" s="1"/>
  <c r="M135" i="1"/>
  <c r="O135" i="1" s="1"/>
  <c r="L135" i="1"/>
  <c r="N135" i="1" s="1"/>
  <c r="P135" i="1" s="1"/>
  <c r="M127" i="1"/>
  <c r="O127" i="1" s="1"/>
  <c r="L127" i="1"/>
  <c r="N127" i="1" s="1"/>
  <c r="M119" i="1"/>
  <c r="O119" i="1" s="1"/>
  <c r="L119" i="1"/>
  <c r="N119" i="1" s="1"/>
  <c r="P119" i="1" s="1"/>
  <c r="M115" i="1"/>
  <c r="O115" i="1" s="1"/>
  <c r="L115" i="1"/>
  <c r="N115" i="1" s="1"/>
  <c r="M111" i="1"/>
  <c r="O111" i="1" s="1"/>
  <c r="L111" i="1"/>
  <c r="N111" i="1" s="1"/>
  <c r="P111" i="1" s="1"/>
  <c r="M95" i="1"/>
  <c r="O95" i="1" s="1"/>
  <c r="L95" i="1"/>
  <c r="N95" i="1" s="1"/>
  <c r="M75" i="1"/>
  <c r="O75" i="1" s="1"/>
  <c r="L75" i="1"/>
  <c r="N75" i="1" s="1"/>
  <c r="P75" i="1" s="1"/>
  <c r="M63" i="1"/>
  <c r="O63" i="1" s="1"/>
  <c r="L63" i="1"/>
  <c r="N63" i="1" s="1"/>
  <c r="M59" i="1"/>
  <c r="O59" i="1" s="1"/>
  <c r="L59" i="1"/>
  <c r="N59" i="1" s="1"/>
  <c r="P59" i="1" s="1"/>
  <c r="M39" i="1"/>
  <c r="O39" i="1" s="1"/>
  <c r="L39" i="1"/>
  <c r="N39" i="1" s="1"/>
  <c r="M31" i="1"/>
  <c r="O31" i="1" s="1"/>
  <c r="L31" i="1"/>
  <c r="N31" i="1" s="1"/>
  <c r="P31" i="1" s="1"/>
  <c r="M27" i="1"/>
  <c r="O27" i="1" s="1"/>
  <c r="L27" i="1"/>
  <c r="N27" i="1" s="1"/>
  <c r="M19" i="1"/>
  <c r="O19" i="1" s="1"/>
  <c r="L19" i="1"/>
  <c r="N19" i="1" s="1"/>
  <c r="P19" i="1" s="1"/>
  <c r="M15" i="1"/>
  <c r="O15" i="1" s="1"/>
  <c r="L15" i="1"/>
  <c r="N15" i="1" s="1"/>
  <c r="M7" i="1"/>
  <c r="O7" i="1" s="1"/>
  <c r="L7" i="1"/>
  <c r="N7" i="1" s="1"/>
  <c r="P7" i="1" s="1"/>
  <c r="L251" i="1"/>
  <c r="N251" i="1" s="1"/>
  <c r="P251" i="1" s="1"/>
  <c r="L207" i="1"/>
  <c r="N207" i="1" s="1"/>
  <c r="P207" i="1" s="1"/>
  <c r="L99" i="1"/>
  <c r="N99" i="1" s="1"/>
  <c r="P99" i="1" s="1"/>
  <c r="L55" i="1"/>
  <c r="N55" i="1" s="1"/>
  <c r="P55" i="1" s="1"/>
  <c r="M494" i="1"/>
  <c r="O494" i="1" s="1"/>
  <c r="L494" i="1"/>
  <c r="N494" i="1" s="1"/>
  <c r="M462" i="1"/>
  <c r="O462" i="1" s="1"/>
  <c r="L462" i="1"/>
  <c r="N462" i="1" s="1"/>
  <c r="P462" i="1" s="1"/>
  <c r="M454" i="1"/>
  <c r="O454" i="1" s="1"/>
  <c r="L454" i="1"/>
  <c r="N454" i="1" s="1"/>
  <c r="M442" i="1"/>
  <c r="O442" i="1" s="1"/>
  <c r="L442" i="1"/>
  <c r="N442" i="1" s="1"/>
  <c r="P442" i="1" s="1"/>
  <c r="M426" i="1"/>
  <c r="O426" i="1" s="1"/>
  <c r="L426" i="1"/>
  <c r="N426" i="1" s="1"/>
  <c r="M410" i="1"/>
  <c r="O410" i="1" s="1"/>
  <c r="L410" i="1"/>
  <c r="N410" i="1" s="1"/>
  <c r="P410" i="1" s="1"/>
  <c r="M402" i="1"/>
  <c r="O402" i="1" s="1"/>
  <c r="L402" i="1"/>
  <c r="N402" i="1" s="1"/>
  <c r="M382" i="1"/>
  <c r="O382" i="1" s="1"/>
  <c r="L382" i="1"/>
  <c r="N382" i="1" s="1"/>
  <c r="P382" i="1" s="1"/>
  <c r="M358" i="1"/>
  <c r="O358" i="1" s="1"/>
  <c r="L358" i="1"/>
  <c r="N358" i="1" s="1"/>
  <c r="M350" i="1"/>
  <c r="O350" i="1" s="1"/>
  <c r="L350" i="1"/>
  <c r="N350" i="1" s="1"/>
  <c r="P350" i="1" s="1"/>
  <c r="M346" i="1"/>
  <c r="O346" i="1" s="1"/>
  <c r="L346" i="1"/>
  <c r="N346" i="1" s="1"/>
  <c r="M342" i="1"/>
  <c r="O342" i="1" s="1"/>
  <c r="L342" i="1"/>
  <c r="N342" i="1" s="1"/>
  <c r="P342" i="1" s="1"/>
  <c r="M334" i="1"/>
  <c r="O334" i="1" s="1"/>
  <c r="L334" i="1"/>
  <c r="N334" i="1" s="1"/>
  <c r="M326" i="1"/>
  <c r="O326" i="1" s="1"/>
  <c r="L326" i="1"/>
  <c r="N326" i="1" s="1"/>
  <c r="P326" i="1" s="1"/>
  <c r="M314" i="1"/>
  <c r="O314" i="1" s="1"/>
  <c r="L314" i="1"/>
  <c r="N314" i="1" s="1"/>
  <c r="M306" i="1"/>
  <c r="O306" i="1" s="1"/>
  <c r="L306" i="1"/>
  <c r="N306" i="1" s="1"/>
  <c r="P306" i="1" s="1"/>
  <c r="M290" i="1"/>
  <c r="O290" i="1" s="1"/>
  <c r="L290" i="1"/>
  <c r="N290" i="1" s="1"/>
  <c r="M274" i="1"/>
  <c r="O274" i="1" s="1"/>
  <c r="L274" i="1"/>
  <c r="N274" i="1" s="1"/>
  <c r="P274" i="1" s="1"/>
  <c r="M254" i="1"/>
  <c r="O254" i="1" s="1"/>
  <c r="L254" i="1"/>
  <c r="N254" i="1" s="1"/>
  <c r="M250" i="1"/>
  <c r="O250" i="1" s="1"/>
  <c r="L250" i="1"/>
  <c r="N250" i="1" s="1"/>
  <c r="P250" i="1" s="1"/>
  <c r="M238" i="1"/>
  <c r="O238" i="1" s="1"/>
  <c r="L238" i="1"/>
  <c r="N238" i="1" s="1"/>
  <c r="M230" i="1"/>
  <c r="O230" i="1" s="1"/>
  <c r="L230" i="1"/>
  <c r="N230" i="1" s="1"/>
  <c r="P230" i="1" s="1"/>
  <c r="M222" i="1"/>
  <c r="O222" i="1" s="1"/>
  <c r="L222" i="1"/>
  <c r="N222" i="1" s="1"/>
  <c r="M218" i="1"/>
  <c r="O218" i="1" s="1"/>
  <c r="L218" i="1"/>
  <c r="N218" i="1" s="1"/>
  <c r="P218" i="1" s="1"/>
  <c r="M214" i="1"/>
  <c r="O214" i="1" s="1"/>
  <c r="L214" i="1"/>
  <c r="N214" i="1" s="1"/>
  <c r="M182" i="1"/>
  <c r="O182" i="1" s="1"/>
  <c r="L182" i="1"/>
  <c r="N182" i="1" s="1"/>
  <c r="P182" i="1" s="1"/>
  <c r="M170" i="1"/>
  <c r="O170" i="1" s="1"/>
  <c r="L170" i="1"/>
  <c r="N170" i="1" s="1"/>
  <c r="M154" i="1"/>
  <c r="O154" i="1" s="1"/>
  <c r="L154" i="1"/>
  <c r="N154" i="1" s="1"/>
  <c r="P154" i="1" s="1"/>
  <c r="M138" i="1"/>
  <c r="O138" i="1" s="1"/>
  <c r="L138" i="1"/>
  <c r="N138" i="1" s="1"/>
  <c r="M130" i="1"/>
  <c r="O130" i="1" s="1"/>
  <c r="L130" i="1"/>
  <c r="N130" i="1" s="1"/>
  <c r="P130" i="1" s="1"/>
  <c r="M122" i="1"/>
  <c r="O122" i="1" s="1"/>
  <c r="L122" i="1"/>
  <c r="N122" i="1" s="1"/>
  <c r="M110" i="1"/>
  <c r="O110" i="1" s="1"/>
  <c r="L110" i="1"/>
  <c r="N110" i="1" s="1"/>
  <c r="P110" i="1" s="1"/>
  <c r="M90" i="1"/>
  <c r="O90" i="1" s="1"/>
  <c r="L90" i="1"/>
  <c r="N90" i="1" s="1"/>
  <c r="M86" i="1"/>
  <c r="O86" i="1" s="1"/>
  <c r="L86" i="1"/>
  <c r="N86" i="1" s="1"/>
  <c r="P86" i="1" s="1"/>
  <c r="M58" i="1"/>
  <c r="O58" i="1" s="1"/>
  <c r="L58" i="1"/>
  <c r="N58" i="1" s="1"/>
  <c r="M42" i="1"/>
  <c r="O42" i="1" s="1"/>
  <c r="L42" i="1"/>
  <c r="N42" i="1" s="1"/>
  <c r="P42" i="1" s="1"/>
  <c r="M26" i="1"/>
  <c r="O26" i="1" s="1"/>
  <c r="L26" i="1"/>
  <c r="N26" i="1" s="1"/>
  <c r="M10" i="1"/>
  <c r="O10" i="1" s="1"/>
  <c r="L10" i="1"/>
  <c r="N10" i="1" s="1"/>
  <c r="P10" i="1" s="1"/>
  <c r="M499" i="1"/>
  <c r="O499" i="1" s="1"/>
  <c r="L499" i="1"/>
  <c r="N499" i="1" s="1"/>
  <c r="M495" i="1"/>
  <c r="O495" i="1" s="1"/>
  <c r="L495" i="1"/>
  <c r="N495" i="1" s="1"/>
  <c r="P495" i="1" s="1"/>
  <c r="M479" i="1"/>
  <c r="O479" i="1" s="1"/>
  <c r="L479" i="1"/>
  <c r="N479" i="1" s="1"/>
  <c r="M471" i="1"/>
  <c r="O471" i="1" s="1"/>
  <c r="L471" i="1"/>
  <c r="N471" i="1" s="1"/>
  <c r="P471" i="1" s="1"/>
  <c r="M455" i="1"/>
  <c r="O455" i="1" s="1"/>
  <c r="L455" i="1"/>
  <c r="N455" i="1" s="1"/>
  <c r="M447" i="1"/>
  <c r="O447" i="1" s="1"/>
  <c r="L447" i="1"/>
  <c r="N447" i="1" s="1"/>
  <c r="P447" i="1" s="1"/>
  <c r="M443" i="1"/>
  <c r="O443" i="1" s="1"/>
  <c r="L443" i="1"/>
  <c r="N443" i="1" s="1"/>
  <c r="M423" i="1"/>
  <c r="O423" i="1" s="1"/>
  <c r="L423" i="1"/>
  <c r="N423" i="1" s="1"/>
  <c r="P423" i="1" s="1"/>
  <c r="M391" i="1"/>
  <c r="O391" i="1" s="1"/>
  <c r="L391" i="1"/>
  <c r="N391" i="1" s="1"/>
  <c r="M371" i="1"/>
  <c r="O371" i="1" s="1"/>
  <c r="L371" i="1"/>
  <c r="N371" i="1" s="1"/>
  <c r="P371" i="1" s="1"/>
  <c r="M367" i="1"/>
  <c r="O367" i="1" s="1"/>
  <c r="L367" i="1"/>
  <c r="N367" i="1" s="1"/>
  <c r="M351" i="1"/>
  <c r="O351" i="1" s="1"/>
  <c r="L351" i="1"/>
  <c r="N351" i="1" s="1"/>
  <c r="P351" i="1" s="1"/>
  <c r="M343" i="1"/>
  <c r="O343" i="1" s="1"/>
  <c r="L343" i="1"/>
  <c r="N343" i="1" s="1"/>
  <c r="M339" i="1"/>
  <c r="O339" i="1" s="1"/>
  <c r="L339" i="1"/>
  <c r="N339" i="1" s="1"/>
  <c r="P339" i="1" s="1"/>
  <c r="M331" i="1"/>
  <c r="O331" i="1" s="1"/>
  <c r="L331" i="1"/>
  <c r="N331" i="1" s="1"/>
  <c r="M323" i="1"/>
  <c r="O323" i="1" s="1"/>
  <c r="L323" i="1"/>
  <c r="N323" i="1" s="1"/>
  <c r="P323" i="1" s="1"/>
  <c r="M307" i="1"/>
  <c r="O307" i="1" s="1"/>
  <c r="L307" i="1"/>
  <c r="N307" i="1" s="1"/>
  <c r="M299" i="1"/>
  <c r="O299" i="1" s="1"/>
  <c r="L299" i="1"/>
  <c r="N299" i="1" s="1"/>
  <c r="P299" i="1" s="1"/>
  <c r="M291" i="1"/>
  <c r="O291" i="1" s="1"/>
  <c r="L291" i="1"/>
  <c r="N291" i="1" s="1"/>
  <c r="M263" i="1"/>
  <c r="O263" i="1" s="1"/>
  <c r="L263" i="1"/>
  <c r="N263" i="1" s="1"/>
  <c r="P263" i="1" s="1"/>
  <c r="M243" i="1"/>
  <c r="O243" i="1" s="1"/>
  <c r="L243" i="1"/>
  <c r="N243" i="1" s="1"/>
  <c r="M239" i="1"/>
  <c r="O239" i="1" s="1"/>
  <c r="L239" i="1"/>
  <c r="N239" i="1" s="1"/>
  <c r="P239" i="1" s="1"/>
  <c r="M223" i="1"/>
  <c r="O223" i="1" s="1"/>
  <c r="L223" i="1"/>
  <c r="N223" i="1" s="1"/>
  <c r="M199" i="1"/>
  <c r="O199" i="1" s="1"/>
  <c r="L199" i="1"/>
  <c r="N199" i="1" s="1"/>
  <c r="P199" i="1" s="1"/>
  <c r="M191" i="1"/>
  <c r="O191" i="1" s="1"/>
  <c r="L191" i="1"/>
  <c r="N191" i="1" s="1"/>
  <c r="M187" i="1"/>
  <c r="O187" i="1" s="1"/>
  <c r="L187" i="1"/>
  <c r="N187" i="1" s="1"/>
  <c r="P187" i="1" s="1"/>
  <c r="M167" i="1"/>
  <c r="O167" i="1" s="1"/>
  <c r="L167" i="1"/>
  <c r="N167" i="1" s="1"/>
  <c r="M163" i="1"/>
  <c r="O163" i="1" s="1"/>
  <c r="L163" i="1"/>
  <c r="N163" i="1" s="1"/>
  <c r="P163" i="1" s="1"/>
  <c r="M143" i="1"/>
  <c r="O143" i="1" s="1"/>
  <c r="L143" i="1"/>
  <c r="N143" i="1" s="1"/>
  <c r="M103" i="1"/>
  <c r="O103" i="1" s="1"/>
  <c r="L103" i="1"/>
  <c r="N103" i="1" s="1"/>
  <c r="P103" i="1" s="1"/>
  <c r="M87" i="1"/>
  <c r="O87" i="1" s="1"/>
  <c r="L87" i="1"/>
  <c r="N87" i="1" s="1"/>
  <c r="M83" i="1"/>
  <c r="O83" i="1" s="1"/>
  <c r="L83" i="1"/>
  <c r="N83" i="1" s="1"/>
  <c r="P83" i="1" s="1"/>
  <c r="M71" i="1"/>
  <c r="O71" i="1" s="1"/>
  <c r="L71" i="1"/>
  <c r="N71" i="1" s="1"/>
  <c r="M67" i="1"/>
  <c r="O67" i="1" s="1"/>
  <c r="L67" i="1"/>
  <c r="N67" i="1" s="1"/>
  <c r="P67" i="1" s="1"/>
  <c r="M51" i="1"/>
  <c r="O51" i="1" s="1"/>
  <c r="L51" i="1"/>
  <c r="N51" i="1" s="1"/>
  <c r="M43" i="1"/>
  <c r="O43" i="1" s="1"/>
  <c r="L43" i="1"/>
  <c r="N43" i="1" s="1"/>
  <c r="P43" i="1" s="1"/>
  <c r="M35" i="1"/>
  <c r="O35" i="1" s="1"/>
  <c r="L35" i="1"/>
  <c r="N35" i="1" s="1"/>
  <c r="L407" i="1"/>
  <c r="N407" i="1" s="1"/>
  <c r="P407" i="1" s="1"/>
  <c r="L347" i="1"/>
  <c r="N347" i="1" s="1"/>
  <c r="P347" i="1" s="1"/>
  <c r="L267" i="1"/>
  <c r="N267" i="1" s="1"/>
  <c r="P267" i="1" s="1"/>
  <c r="L235" i="1"/>
  <c r="N235" i="1" s="1"/>
  <c r="P235" i="1" s="1"/>
  <c r="L175" i="1"/>
  <c r="N175" i="1" s="1"/>
  <c r="P175" i="1" s="1"/>
  <c r="M486" i="1"/>
  <c r="O486" i="1" s="1"/>
  <c r="L486" i="1"/>
  <c r="N486" i="1" s="1"/>
  <c r="P486" i="1" s="1"/>
  <c r="M478" i="1"/>
  <c r="O478" i="1" s="1"/>
  <c r="L478" i="1"/>
  <c r="N478" i="1" s="1"/>
  <c r="M474" i="1"/>
  <c r="O474" i="1" s="1"/>
  <c r="L474" i="1"/>
  <c r="N474" i="1" s="1"/>
  <c r="P474" i="1" s="1"/>
  <c r="M470" i="1"/>
  <c r="O470" i="1" s="1"/>
  <c r="L470" i="1"/>
  <c r="N470" i="1" s="1"/>
  <c r="M438" i="1"/>
  <c r="O438" i="1" s="1"/>
  <c r="L438" i="1"/>
  <c r="N438" i="1" s="1"/>
  <c r="P438" i="1" s="1"/>
  <c r="M434" i="1"/>
  <c r="O434" i="1" s="1"/>
  <c r="L434" i="1"/>
  <c r="N434" i="1" s="1"/>
  <c r="M418" i="1"/>
  <c r="O418" i="1" s="1"/>
  <c r="L418" i="1"/>
  <c r="N418" i="1" s="1"/>
  <c r="P418" i="1" s="1"/>
  <c r="M394" i="1"/>
  <c r="O394" i="1" s="1"/>
  <c r="L394" i="1"/>
  <c r="N394" i="1" s="1"/>
  <c r="M386" i="1"/>
  <c r="O386" i="1" s="1"/>
  <c r="L386" i="1"/>
  <c r="N386" i="1" s="1"/>
  <c r="P386" i="1" s="1"/>
  <c r="M378" i="1"/>
  <c r="O378" i="1" s="1"/>
  <c r="L378" i="1"/>
  <c r="N378" i="1" s="1"/>
  <c r="M366" i="1"/>
  <c r="O366" i="1" s="1"/>
  <c r="L366" i="1"/>
  <c r="N366" i="1" s="1"/>
  <c r="P366" i="1" s="1"/>
  <c r="M310" i="1"/>
  <c r="O310" i="1" s="1"/>
  <c r="L310" i="1"/>
  <c r="N310" i="1" s="1"/>
  <c r="M298" i="1"/>
  <c r="O298" i="1" s="1"/>
  <c r="L298" i="1"/>
  <c r="N298" i="1" s="1"/>
  <c r="P298" i="1" s="1"/>
  <c r="M282" i="1"/>
  <c r="O282" i="1" s="1"/>
  <c r="L282" i="1"/>
  <c r="N282" i="1" s="1"/>
  <c r="M266" i="1"/>
  <c r="O266" i="1" s="1"/>
  <c r="L266" i="1"/>
  <c r="N266" i="1" s="1"/>
  <c r="P266" i="1" s="1"/>
  <c r="M258" i="1"/>
  <c r="O258" i="1" s="1"/>
  <c r="L258" i="1"/>
  <c r="N258" i="1" s="1"/>
  <c r="M206" i="1"/>
  <c r="O206" i="1" s="1"/>
  <c r="L206" i="1"/>
  <c r="N206" i="1" s="1"/>
  <c r="P206" i="1" s="1"/>
  <c r="M198" i="1"/>
  <c r="O198" i="1" s="1"/>
  <c r="L198" i="1"/>
  <c r="N198" i="1" s="1"/>
  <c r="M186" i="1"/>
  <c r="O186" i="1" s="1"/>
  <c r="L186" i="1"/>
  <c r="N186" i="1" s="1"/>
  <c r="P186" i="1" s="1"/>
  <c r="M178" i="1"/>
  <c r="O178" i="1" s="1"/>
  <c r="L178" i="1"/>
  <c r="N178" i="1" s="1"/>
  <c r="M162" i="1"/>
  <c r="O162" i="1" s="1"/>
  <c r="L162" i="1"/>
  <c r="N162" i="1" s="1"/>
  <c r="P162" i="1" s="1"/>
  <c r="M146" i="1"/>
  <c r="O146" i="1" s="1"/>
  <c r="L146" i="1"/>
  <c r="N146" i="1" s="1"/>
  <c r="M126" i="1"/>
  <c r="O126" i="1" s="1"/>
  <c r="L126" i="1"/>
  <c r="N126" i="1" s="1"/>
  <c r="P126" i="1" s="1"/>
  <c r="M102" i="1"/>
  <c r="O102" i="1" s="1"/>
  <c r="L102" i="1"/>
  <c r="N102" i="1" s="1"/>
  <c r="M94" i="1"/>
  <c r="O94" i="1" s="1"/>
  <c r="L94" i="1"/>
  <c r="N94" i="1" s="1"/>
  <c r="P94" i="1" s="1"/>
  <c r="M78" i="1"/>
  <c r="O78" i="1" s="1"/>
  <c r="L78" i="1"/>
  <c r="N78" i="1" s="1"/>
  <c r="M70" i="1"/>
  <c r="O70" i="1" s="1"/>
  <c r="L70" i="1"/>
  <c r="N70" i="1" s="1"/>
  <c r="P70" i="1" s="1"/>
  <c r="M54" i="1"/>
  <c r="O54" i="1" s="1"/>
  <c r="L54" i="1"/>
  <c r="N54" i="1" s="1"/>
  <c r="M50" i="1"/>
  <c r="O50" i="1" s="1"/>
  <c r="L50" i="1"/>
  <c r="N50" i="1" s="1"/>
  <c r="P50" i="1" s="1"/>
  <c r="M34" i="1"/>
  <c r="O34" i="1" s="1"/>
  <c r="L34" i="1"/>
  <c r="N34" i="1" s="1"/>
  <c r="M18" i="1"/>
  <c r="O18" i="1" s="1"/>
  <c r="L18" i="1"/>
  <c r="N18" i="1" s="1"/>
  <c r="P18" i="1" s="1"/>
  <c r="L498" i="1"/>
  <c r="N498" i="1" s="1"/>
  <c r="P498" i="1" s="1"/>
  <c r="L483" i="1"/>
  <c r="N483" i="1" s="1"/>
  <c r="P483" i="1" s="1"/>
  <c r="L466" i="1"/>
  <c r="N466" i="1" s="1"/>
  <c r="P466" i="1" s="1"/>
  <c r="L450" i="1"/>
  <c r="N450" i="1" s="1"/>
  <c r="P450" i="1" s="1"/>
  <c r="L439" i="1"/>
  <c r="N439" i="1" s="1"/>
  <c r="P439" i="1" s="1"/>
  <c r="L422" i="1"/>
  <c r="N422" i="1" s="1"/>
  <c r="P422" i="1" s="1"/>
  <c r="L406" i="1"/>
  <c r="N406" i="1" s="1"/>
  <c r="P406" i="1" s="1"/>
  <c r="L387" i="1"/>
  <c r="N387" i="1" s="1"/>
  <c r="P387" i="1" s="1"/>
  <c r="L374" i="1"/>
  <c r="N374" i="1" s="1"/>
  <c r="P374" i="1" s="1"/>
  <c r="L279" i="1"/>
  <c r="N279" i="1" s="1"/>
  <c r="P279" i="1" s="1"/>
  <c r="L262" i="1"/>
  <c r="N262" i="1" s="1"/>
  <c r="P262" i="1" s="1"/>
  <c r="L234" i="1"/>
  <c r="N234" i="1" s="1"/>
  <c r="P234" i="1" s="1"/>
  <c r="L219" i="1"/>
  <c r="N219" i="1" s="1"/>
  <c r="P219" i="1" s="1"/>
  <c r="L202" i="1"/>
  <c r="N202" i="1" s="1"/>
  <c r="P202" i="1" s="1"/>
  <c r="L174" i="1"/>
  <c r="N174" i="1" s="1"/>
  <c r="P174" i="1" s="1"/>
  <c r="L139" i="1"/>
  <c r="N139" i="1" s="1"/>
  <c r="P139" i="1" s="1"/>
  <c r="L123" i="1"/>
  <c r="N123" i="1" s="1"/>
  <c r="P123" i="1" s="1"/>
  <c r="L107" i="1"/>
  <c r="N107" i="1" s="1"/>
  <c r="P107" i="1" s="1"/>
  <c r="L98" i="1"/>
  <c r="N98" i="1" s="1"/>
  <c r="P98" i="1" s="1"/>
  <c r="L79" i="1"/>
  <c r="N79" i="1" s="1"/>
  <c r="P79" i="1" s="1"/>
  <c r="L62" i="1"/>
  <c r="N62" i="1" s="1"/>
  <c r="P62" i="1" s="1"/>
  <c r="L47" i="1"/>
  <c r="N47" i="1" s="1"/>
  <c r="P47" i="1" s="1"/>
  <c r="L30" i="1"/>
  <c r="N30" i="1" s="1"/>
  <c r="P30" i="1" s="1"/>
  <c r="L14" i="1"/>
  <c r="N14" i="1" s="1"/>
  <c r="P14" i="1" s="1"/>
  <c r="M493" i="1"/>
  <c r="O493" i="1" s="1"/>
  <c r="L493" i="1"/>
  <c r="N493" i="1" s="1"/>
  <c r="M429" i="1"/>
  <c r="O429" i="1" s="1"/>
  <c r="L429" i="1"/>
  <c r="N429" i="1" s="1"/>
  <c r="P429" i="1" s="1"/>
  <c r="M269" i="1"/>
  <c r="O269" i="1" s="1"/>
  <c r="L269" i="1"/>
  <c r="N269" i="1" s="1"/>
  <c r="M237" i="1"/>
  <c r="O237" i="1" s="1"/>
  <c r="L237" i="1"/>
  <c r="N237" i="1" s="1"/>
  <c r="P237" i="1" s="1"/>
  <c r="M205" i="1"/>
  <c r="O205" i="1" s="1"/>
  <c r="L205" i="1"/>
  <c r="N205" i="1" s="1"/>
  <c r="M173" i="1"/>
  <c r="O173" i="1" s="1"/>
  <c r="L173" i="1"/>
  <c r="N173" i="1" s="1"/>
  <c r="P173" i="1" s="1"/>
  <c r="M141" i="1"/>
  <c r="O141" i="1" s="1"/>
  <c r="L141" i="1"/>
  <c r="N141" i="1" s="1"/>
  <c r="M109" i="1"/>
  <c r="O109" i="1" s="1"/>
  <c r="L109" i="1"/>
  <c r="N109" i="1" s="1"/>
  <c r="P109" i="1" s="1"/>
  <c r="M77" i="1"/>
  <c r="O77" i="1" s="1"/>
  <c r="L77" i="1"/>
  <c r="N77" i="1" s="1"/>
  <c r="M45" i="1"/>
  <c r="O45" i="1" s="1"/>
  <c r="L45" i="1"/>
  <c r="N45" i="1" s="1"/>
  <c r="P45" i="1" s="1"/>
  <c r="M13" i="1"/>
  <c r="O13" i="1" s="1"/>
  <c r="L13" i="1"/>
  <c r="N13" i="1" s="1"/>
  <c r="M461" i="1"/>
  <c r="O461" i="1" s="1"/>
  <c r="L461" i="1"/>
  <c r="N461" i="1" s="1"/>
  <c r="P461" i="1" s="1"/>
  <c r="M397" i="1"/>
  <c r="O397" i="1" s="1"/>
  <c r="L397" i="1"/>
  <c r="N397" i="1" s="1"/>
  <c r="P397" i="1" s="1"/>
  <c r="M365" i="1"/>
  <c r="O365" i="1" s="1"/>
  <c r="L365" i="1"/>
  <c r="N365" i="1" s="1"/>
  <c r="P365" i="1" s="1"/>
  <c r="L357" i="1"/>
  <c r="N357" i="1" s="1"/>
  <c r="M357" i="1"/>
  <c r="O357" i="1" s="1"/>
  <c r="M333" i="1"/>
  <c r="O333" i="1" s="1"/>
  <c r="L333" i="1"/>
  <c r="N333" i="1" s="1"/>
  <c r="P333" i="1" s="1"/>
  <c r="M301" i="1"/>
  <c r="O301" i="1" s="1"/>
  <c r="L301" i="1"/>
  <c r="N301" i="1" s="1"/>
  <c r="P301" i="1" s="1"/>
  <c r="L477" i="1"/>
  <c r="N477" i="1" s="1"/>
  <c r="P477" i="1" s="1"/>
  <c r="L409" i="1"/>
  <c r="N409" i="1" s="1"/>
  <c r="P409" i="1" s="1"/>
  <c r="L393" i="1"/>
  <c r="N393" i="1" s="1"/>
  <c r="P393" i="1" s="1"/>
  <c r="L349" i="1"/>
  <c r="N349" i="1" s="1"/>
  <c r="P349" i="1" s="1"/>
  <c r="L281" i="1"/>
  <c r="N281" i="1" s="1"/>
  <c r="P281" i="1" s="1"/>
  <c r="L265" i="1"/>
  <c r="N265" i="1" s="1"/>
  <c r="P265" i="1" s="1"/>
  <c r="L221" i="1"/>
  <c r="N221" i="1" s="1"/>
  <c r="P221" i="1" s="1"/>
  <c r="L153" i="1"/>
  <c r="N153" i="1" s="1"/>
  <c r="P153" i="1" s="1"/>
  <c r="L137" i="1"/>
  <c r="N137" i="1" s="1"/>
  <c r="P137" i="1" s="1"/>
  <c r="L93" i="1"/>
  <c r="N93" i="1" s="1"/>
  <c r="P93" i="1" s="1"/>
  <c r="L25" i="1"/>
  <c r="N25" i="1" s="1"/>
  <c r="P25" i="1" s="1"/>
  <c r="L9" i="1"/>
  <c r="N9" i="1" s="1"/>
  <c r="P9" i="1" s="1"/>
  <c r="M488" i="1"/>
  <c r="O488" i="1" s="1"/>
  <c r="M456" i="1"/>
  <c r="O456" i="1" s="1"/>
  <c r="P456" i="1" s="1"/>
  <c r="M424" i="1"/>
  <c r="O424" i="1" s="1"/>
  <c r="P424" i="1" s="1"/>
  <c r="M392" i="1"/>
  <c r="O392" i="1" s="1"/>
  <c r="P392" i="1" s="1"/>
  <c r="M501" i="1"/>
  <c r="O501" i="1" s="1"/>
  <c r="P501" i="1" s="1"/>
  <c r="M485" i="1"/>
  <c r="O485" i="1" s="1"/>
  <c r="P485" i="1" s="1"/>
  <c r="M469" i="1"/>
  <c r="O469" i="1" s="1"/>
  <c r="P469" i="1" s="1"/>
  <c r="M453" i="1"/>
  <c r="O453" i="1" s="1"/>
  <c r="P453" i="1" s="1"/>
  <c r="M437" i="1"/>
  <c r="O437" i="1" s="1"/>
  <c r="P437" i="1" s="1"/>
  <c r="M421" i="1"/>
  <c r="O421" i="1" s="1"/>
  <c r="P421" i="1" s="1"/>
  <c r="M405" i="1"/>
  <c r="O405" i="1" s="1"/>
  <c r="P405" i="1" s="1"/>
  <c r="L497" i="1"/>
  <c r="N497" i="1" s="1"/>
  <c r="P497" i="1" s="1"/>
  <c r="L481" i="1"/>
  <c r="N481" i="1" s="1"/>
  <c r="P481" i="1" s="1"/>
  <c r="L465" i="1"/>
  <c r="N465" i="1" s="1"/>
  <c r="P465" i="1" s="1"/>
  <c r="L449" i="1"/>
  <c r="N449" i="1" s="1"/>
  <c r="P449" i="1" s="1"/>
  <c r="L433" i="1"/>
  <c r="N433" i="1" s="1"/>
  <c r="P433" i="1" s="1"/>
  <c r="L417" i="1"/>
  <c r="N417" i="1" s="1"/>
  <c r="P417" i="1" s="1"/>
  <c r="L401" i="1"/>
  <c r="N401" i="1" s="1"/>
  <c r="P401" i="1" s="1"/>
  <c r="L385" i="1"/>
  <c r="N385" i="1" s="1"/>
  <c r="P385" i="1" s="1"/>
  <c r="L369" i="1"/>
  <c r="N369" i="1" s="1"/>
  <c r="P369" i="1" s="1"/>
  <c r="L353" i="1"/>
  <c r="N353" i="1" s="1"/>
  <c r="P353" i="1" s="1"/>
  <c r="L337" i="1"/>
  <c r="N337" i="1" s="1"/>
  <c r="P337" i="1" s="1"/>
  <c r="L321" i="1"/>
  <c r="N321" i="1" s="1"/>
  <c r="P321" i="1" s="1"/>
  <c r="L305" i="1"/>
  <c r="N305" i="1" s="1"/>
  <c r="P305" i="1" s="1"/>
  <c r="L289" i="1"/>
  <c r="N289" i="1" s="1"/>
  <c r="P289" i="1" s="1"/>
  <c r="L273" i="1"/>
  <c r="N273" i="1" s="1"/>
  <c r="P273" i="1" s="1"/>
  <c r="L257" i="1"/>
  <c r="N257" i="1" s="1"/>
  <c r="P257" i="1" s="1"/>
  <c r="L241" i="1"/>
  <c r="N241" i="1" s="1"/>
  <c r="P241" i="1" s="1"/>
  <c r="L225" i="1"/>
  <c r="N225" i="1" s="1"/>
  <c r="P225" i="1" s="1"/>
  <c r="L209" i="1"/>
  <c r="N209" i="1" s="1"/>
  <c r="P209" i="1" s="1"/>
  <c r="L193" i="1"/>
  <c r="N193" i="1" s="1"/>
  <c r="P193" i="1" s="1"/>
  <c r="L177" i="1"/>
  <c r="N177" i="1" s="1"/>
  <c r="P177" i="1" s="1"/>
  <c r="L161" i="1"/>
  <c r="N161" i="1" s="1"/>
  <c r="P161" i="1" s="1"/>
  <c r="L145" i="1"/>
  <c r="N145" i="1" s="1"/>
  <c r="P145" i="1" s="1"/>
  <c r="L129" i="1"/>
  <c r="N129" i="1" s="1"/>
  <c r="P129" i="1" s="1"/>
  <c r="L113" i="1"/>
  <c r="N113" i="1" s="1"/>
  <c r="P113" i="1" s="1"/>
  <c r="L97" i="1"/>
  <c r="N97" i="1" s="1"/>
  <c r="P97" i="1" s="1"/>
  <c r="L81" i="1"/>
  <c r="N81" i="1" s="1"/>
  <c r="P81" i="1" s="1"/>
  <c r="L65" i="1"/>
  <c r="N65" i="1" s="1"/>
  <c r="P65" i="1" s="1"/>
  <c r="L49" i="1"/>
  <c r="N49" i="1" s="1"/>
  <c r="P49" i="1" s="1"/>
  <c r="L33" i="1"/>
  <c r="N33" i="1" s="1"/>
  <c r="P33" i="1" s="1"/>
  <c r="L17" i="1"/>
  <c r="N17" i="1" s="1"/>
  <c r="P17" i="1" s="1"/>
  <c r="L360" i="1"/>
  <c r="N360" i="1" s="1"/>
  <c r="M360" i="1"/>
  <c r="O360" i="1" s="1"/>
  <c r="L356" i="1"/>
  <c r="N356" i="1" s="1"/>
  <c r="M356" i="1"/>
  <c r="O356" i="1" s="1"/>
  <c r="L352" i="1"/>
  <c r="N352" i="1" s="1"/>
  <c r="M352" i="1"/>
  <c r="O352" i="1" s="1"/>
  <c r="L348" i="1"/>
  <c r="N348" i="1" s="1"/>
  <c r="M348" i="1"/>
  <c r="O348" i="1" s="1"/>
  <c r="L344" i="1"/>
  <c r="N344" i="1" s="1"/>
  <c r="M344" i="1"/>
  <c r="O344" i="1" s="1"/>
  <c r="M340" i="1"/>
  <c r="O340" i="1" s="1"/>
  <c r="L340" i="1"/>
  <c r="N340" i="1" s="1"/>
  <c r="P340" i="1" s="1"/>
  <c r="M336" i="1"/>
  <c r="O336" i="1" s="1"/>
  <c r="L336" i="1"/>
  <c r="N336" i="1" s="1"/>
  <c r="P336" i="1" s="1"/>
  <c r="M332" i="1"/>
  <c r="O332" i="1" s="1"/>
  <c r="L332" i="1"/>
  <c r="N332" i="1" s="1"/>
  <c r="P332" i="1" s="1"/>
  <c r="M328" i="1"/>
  <c r="O328" i="1" s="1"/>
  <c r="L328" i="1"/>
  <c r="N328" i="1" s="1"/>
  <c r="P328" i="1" s="1"/>
  <c r="M324" i="1"/>
  <c r="O324" i="1" s="1"/>
  <c r="L324" i="1"/>
  <c r="N324" i="1" s="1"/>
  <c r="P324" i="1" s="1"/>
  <c r="M320" i="1"/>
  <c r="O320" i="1" s="1"/>
  <c r="L320" i="1"/>
  <c r="N320" i="1" s="1"/>
  <c r="P320" i="1" s="1"/>
  <c r="M316" i="1"/>
  <c r="O316" i="1" s="1"/>
  <c r="L316" i="1"/>
  <c r="N316" i="1" s="1"/>
  <c r="P316" i="1" s="1"/>
  <c r="M312" i="1"/>
  <c r="O312" i="1" s="1"/>
  <c r="L312" i="1"/>
  <c r="N312" i="1" s="1"/>
  <c r="P312" i="1" s="1"/>
  <c r="M308" i="1"/>
  <c r="O308" i="1" s="1"/>
  <c r="L308" i="1"/>
  <c r="N308" i="1" s="1"/>
  <c r="P308" i="1" s="1"/>
  <c r="M304" i="1"/>
  <c r="O304" i="1" s="1"/>
  <c r="L304" i="1"/>
  <c r="N304" i="1" s="1"/>
  <c r="P304" i="1" s="1"/>
  <c r="M300" i="1"/>
  <c r="O300" i="1" s="1"/>
  <c r="L300" i="1"/>
  <c r="N300" i="1" s="1"/>
  <c r="P300" i="1" s="1"/>
  <c r="M296" i="1"/>
  <c r="O296" i="1" s="1"/>
  <c r="L296" i="1"/>
  <c r="N296" i="1" s="1"/>
  <c r="P296" i="1" s="1"/>
  <c r="M292" i="1"/>
  <c r="O292" i="1" s="1"/>
  <c r="L292" i="1"/>
  <c r="N292" i="1" s="1"/>
  <c r="P292" i="1" s="1"/>
  <c r="M288" i="1"/>
  <c r="O288" i="1" s="1"/>
  <c r="L288" i="1"/>
  <c r="N288" i="1" s="1"/>
  <c r="P288" i="1" s="1"/>
  <c r="M284" i="1"/>
  <c r="O284" i="1" s="1"/>
  <c r="L284" i="1"/>
  <c r="N284" i="1" s="1"/>
  <c r="P284" i="1" s="1"/>
  <c r="M280" i="1"/>
  <c r="O280" i="1" s="1"/>
  <c r="L280" i="1"/>
  <c r="N280" i="1" s="1"/>
  <c r="P280" i="1" s="1"/>
  <c r="M276" i="1"/>
  <c r="O276" i="1" s="1"/>
  <c r="L276" i="1"/>
  <c r="N276" i="1" s="1"/>
  <c r="P276" i="1" s="1"/>
  <c r="M272" i="1"/>
  <c r="O272" i="1" s="1"/>
  <c r="L272" i="1"/>
  <c r="N272" i="1" s="1"/>
  <c r="P272" i="1" s="1"/>
  <c r="M268" i="1"/>
  <c r="O268" i="1" s="1"/>
  <c r="L268" i="1"/>
  <c r="N268" i="1" s="1"/>
  <c r="P268" i="1" s="1"/>
  <c r="M264" i="1"/>
  <c r="O264" i="1" s="1"/>
  <c r="L264" i="1"/>
  <c r="N264" i="1" s="1"/>
  <c r="P264" i="1" s="1"/>
  <c r="M260" i="1"/>
  <c r="O260" i="1" s="1"/>
  <c r="L260" i="1"/>
  <c r="N260" i="1" s="1"/>
  <c r="P260" i="1" s="1"/>
  <c r="M256" i="1"/>
  <c r="O256" i="1" s="1"/>
  <c r="L256" i="1"/>
  <c r="N256" i="1" s="1"/>
  <c r="P256" i="1" s="1"/>
  <c r="M252" i="1"/>
  <c r="O252" i="1" s="1"/>
  <c r="L252" i="1"/>
  <c r="N252" i="1" s="1"/>
  <c r="P252" i="1" s="1"/>
  <c r="M248" i="1"/>
  <c r="O248" i="1" s="1"/>
  <c r="L248" i="1"/>
  <c r="N248" i="1" s="1"/>
  <c r="P248" i="1" s="1"/>
  <c r="M244" i="1"/>
  <c r="O244" i="1" s="1"/>
  <c r="L244" i="1"/>
  <c r="N244" i="1" s="1"/>
  <c r="P244" i="1" s="1"/>
  <c r="M240" i="1"/>
  <c r="O240" i="1" s="1"/>
  <c r="L240" i="1"/>
  <c r="N240" i="1" s="1"/>
  <c r="P240" i="1" s="1"/>
  <c r="M236" i="1"/>
  <c r="O236" i="1" s="1"/>
  <c r="L236" i="1"/>
  <c r="N236" i="1" s="1"/>
  <c r="P236" i="1" s="1"/>
  <c r="M232" i="1"/>
  <c r="O232" i="1" s="1"/>
  <c r="L232" i="1"/>
  <c r="N232" i="1" s="1"/>
  <c r="P232" i="1" s="1"/>
  <c r="M228" i="1"/>
  <c r="O228" i="1" s="1"/>
  <c r="L228" i="1"/>
  <c r="N228" i="1" s="1"/>
  <c r="P228" i="1" s="1"/>
  <c r="M224" i="1"/>
  <c r="O224" i="1" s="1"/>
  <c r="L224" i="1"/>
  <c r="N224" i="1" s="1"/>
  <c r="P224" i="1" s="1"/>
  <c r="M220" i="1"/>
  <c r="O220" i="1" s="1"/>
  <c r="L220" i="1"/>
  <c r="N220" i="1" s="1"/>
  <c r="P220" i="1" s="1"/>
  <c r="M216" i="1"/>
  <c r="O216" i="1" s="1"/>
  <c r="L216" i="1"/>
  <c r="N216" i="1" s="1"/>
  <c r="P216" i="1" s="1"/>
  <c r="M212" i="1"/>
  <c r="O212" i="1" s="1"/>
  <c r="L212" i="1"/>
  <c r="N212" i="1" s="1"/>
  <c r="P212" i="1" s="1"/>
  <c r="M208" i="1"/>
  <c r="O208" i="1" s="1"/>
  <c r="L208" i="1"/>
  <c r="N208" i="1" s="1"/>
  <c r="P208" i="1" s="1"/>
  <c r="M204" i="1"/>
  <c r="O204" i="1" s="1"/>
  <c r="L204" i="1"/>
  <c r="N204" i="1" s="1"/>
  <c r="P204" i="1" s="1"/>
  <c r="M200" i="1"/>
  <c r="O200" i="1" s="1"/>
  <c r="L200" i="1"/>
  <c r="N200" i="1" s="1"/>
  <c r="P200" i="1" s="1"/>
  <c r="M196" i="1"/>
  <c r="O196" i="1" s="1"/>
  <c r="L196" i="1"/>
  <c r="N196" i="1" s="1"/>
  <c r="P196" i="1" s="1"/>
  <c r="M192" i="1"/>
  <c r="O192" i="1" s="1"/>
  <c r="L192" i="1"/>
  <c r="N192" i="1" s="1"/>
  <c r="P192" i="1" s="1"/>
  <c r="M188" i="1"/>
  <c r="O188" i="1" s="1"/>
  <c r="L188" i="1"/>
  <c r="N188" i="1" s="1"/>
  <c r="P188" i="1" s="1"/>
  <c r="M184" i="1"/>
  <c r="O184" i="1" s="1"/>
  <c r="L184" i="1"/>
  <c r="N184" i="1" s="1"/>
  <c r="P184" i="1" s="1"/>
  <c r="M180" i="1"/>
  <c r="O180" i="1" s="1"/>
  <c r="L180" i="1"/>
  <c r="N180" i="1" s="1"/>
  <c r="P180" i="1" s="1"/>
  <c r="M176" i="1"/>
  <c r="O176" i="1" s="1"/>
  <c r="L176" i="1"/>
  <c r="N176" i="1" s="1"/>
  <c r="P176" i="1" s="1"/>
  <c r="M172" i="1"/>
  <c r="O172" i="1" s="1"/>
  <c r="L172" i="1"/>
  <c r="N172" i="1" s="1"/>
  <c r="P172" i="1" s="1"/>
  <c r="M168" i="1"/>
  <c r="O168" i="1" s="1"/>
  <c r="L168" i="1"/>
  <c r="N168" i="1" s="1"/>
  <c r="P168" i="1" s="1"/>
  <c r="M164" i="1"/>
  <c r="O164" i="1" s="1"/>
  <c r="L164" i="1"/>
  <c r="N164" i="1" s="1"/>
  <c r="P164" i="1" s="1"/>
  <c r="M160" i="1"/>
  <c r="O160" i="1" s="1"/>
  <c r="L160" i="1"/>
  <c r="N160" i="1" s="1"/>
  <c r="P160" i="1" s="1"/>
  <c r="M156" i="1"/>
  <c r="O156" i="1" s="1"/>
  <c r="L156" i="1"/>
  <c r="N156" i="1" s="1"/>
  <c r="P156" i="1" s="1"/>
  <c r="M152" i="1"/>
  <c r="O152" i="1" s="1"/>
  <c r="L152" i="1"/>
  <c r="N152" i="1" s="1"/>
  <c r="P152" i="1" s="1"/>
  <c r="M148" i="1"/>
  <c r="O148" i="1" s="1"/>
  <c r="L148" i="1"/>
  <c r="N148" i="1" s="1"/>
  <c r="P148" i="1" s="1"/>
  <c r="M144" i="1"/>
  <c r="O144" i="1" s="1"/>
  <c r="L144" i="1"/>
  <c r="N144" i="1" s="1"/>
  <c r="P144" i="1" s="1"/>
  <c r="M140" i="1"/>
  <c r="O140" i="1" s="1"/>
  <c r="L140" i="1"/>
  <c r="N140" i="1" s="1"/>
  <c r="P140" i="1" s="1"/>
  <c r="M136" i="1"/>
  <c r="O136" i="1" s="1"/>
  <c r="L136" i="1"/>
  <c r="N136" i="1" s="1"/>
  <c r="P136" i="1" s="1"/>
  <c r="M132" i="1"/>
  <c r="O132" i="1" s="1"/>
  <c r="L132" i="1"/>
  <c r="N132" i="1" s="1"/>
  <c r="P132" i="1" s="1"/>
  <c r="M128" i="1"/>
  <c r="O128" i="1" s="1"/>
  <c r="L128" i="1"/>
  <c r="N128" i="1" s="1"/>
  <c r="P128" i="1" s="1"/>
  <c r="M124" i="1"/>
  <c r="O124" i="1" s="1"/>
  <c r="L124" i="1"/>
  <c r="N124" i="1" s="1"/>
  <c r="P124" i="1" s="1"/>
  <c r="M120" i="1"/>
  <c r="O120" i="1" s="1"/>
  <c r="L120" i="1"/>
  <c r="N120" i="1" s="1"/>
  <c r="P120" i="1" s="1"/>
  <c r="M116" i="1"/>
  <c r="O116" i="1" s="1"/>
  <c r="L116" i="1"/>
  <c r="N116" i="1" s="1"/>
  <c r="P116" i="1" s="1"/>
  <c r="M112" i="1"/>
  <c r="O112" i="1" s="1"/>
  <c r="L112" i="1"/>
  <c r="N112" i="1" s="1"/>
  <c r="P112" i="1" s="1"/>
  <c r="M108" i="1"/>
  <c r="O108" i="1" s="1"/>
  <c r="L108" i="1"/>
  <c r="N108" i="1" s="1"/>
  <c r="P108" i="1" s="1"/>
  <c r="M104" i="1"/>
  <c r="O104" i="1" s="1"/>
  <c r="L104" i="1"/>
  <c r="N104" i="1" s="1"/>
  <c r="P104" i="1" s="1"/>
  <c r="M100" i="1"/>
  <c r="O100" i="1" s="1"/>
  <c r="L100" i="1"/>
  <c r="N100" i="1" s="1"/>
  <c r="P100" i="1" s="1"/>
  <c r="M96" i="1"/>
  <c r="O96" i="1" s="1"/>
  <c r="L96" i="1"/>
  <c r="N96" i="1" s="1"/>
  <c r="P96" i="1" s="1"/>
  <c r="M92" i="1"/>
  <c r="O92" i="1" s="1"/>
  <c r="L92" i="1"/>
  <c r="N92" i="1" s="1"/>
  <c r="P92" i="1" s="1"/>
  <c r="M88" i="1"/>
  <c r="O88" i="1" s="1"/>
  <c r="L88" i="1"/>
  <c r="N88" i="1" s="1"/>
  <c r="P88" i="1" s="1"/>
  <c r="M84" i="1"/>
  <c r="O84" i="1" s="1"/>
  <c r="L84" i="1"/>
  <c r="N84" i="1" s="1"/>
  <c r="P84" i="1" s="1"/>
  <c r="M80" i="1"/>
  <c r="O80" i="1" s="1"/>
  <c r="L80" i="1"/>
  <c r="N80" i="1" s="1"/>
  <c r="P80" i="1" s="1"/>
  <c r="M76" i="1"/>
  <c r="O76" i="1" s="1"/>
  <c r="L76" i="1"/>
  <c r="N76" i="1" s="1"/>
  <c r="P76" i="1" s="1"/>
  <c r="M72" i="1"/>
  <c r="O72" i="1" s="1"/>
  <c r="L72" i="1"/>
  <c r="N72" i="1" s="1"/>
  <c r="P72" i="1" s="1"/>
  <c r="M68" i="1"/>
  <c r="O68" i="1" s="1"/>
  <c r="L68" i="1"/>
  <c r="N68" i="1" s="1"/>
  <c r="P68" i="1" s="1"/>
  <c r="M64" i="1"/>
  <c r="O64" i="1" s="1"/>
  <c r="L64" i="1"/>
  <c r="N64" i="1" s="1"/>
  <c r="P64" i="1" s="1"/>
  <c r="M60" i="1"/>
  <c r="O60" i="1" s="1"/>
  <c r="L60" i="1"/>
  <c r="N60" i="1" s="1"/>
  <c r="P60" i="1" s="1"/>
  <c r="M56" i="1"/>
  <c r="O56" i="1" s="1"/>
  <c r="L56" i="1"/>
  <c r="N56" i="1" s="1"/>
  <c r="P56" i="1" s="1"/>
  <c r="M52" i="1"/>
  <c r="O52" i="1" s="1"/>
  <c r="L52" i="1"/>
  <c r="N52" i="1" s="1"/>
  <c r="P52" i="1" s="1"/>
  <c r="M48" i="1"/>
  <c r="O48" i="1" s="1"/>
  <c r="L48" i="1"/>
  <c r="N48" i="1" s="1"/>
  <c r="P48" i="1" s="1"/>
  <c r="M44" i="1"/>
  <c r="O44" i="1" s="1"/>
  <c r="L44" i="1"/>
  <c r="N44" i="1" s="1"/>
  <c r="P44" i="1" s="1"/>
  <c r="M40" i="1"/>
  <c r="O40" i="1" s="1"/>
  <c r="L40" i="1"/>
  <c r="N40" i="1" s="1"/>
  <c r="P40" i="1" s="1"/>
  <c r="M36" i="1"/>
  <c r="O36" i="1" s="1"/>
  <c r="L36" i="1"/>
  <c r="N36" i="1" s="1"/>
  <c r="P36" i="1" s="1"/>
  <c r="M32" i="1"/>
  <c r="O32" i="1" s="1"/>
  <c r="L32" i="1"/>
  <c r="N32" i="1" s="1"/>
  <c r="P32" i="1" s="1"/>
  <c r="M28" i="1"/>
  <c r="O28" i="1" s="1"/>
  <c r="L28" i="1"/>
  <c r="N28" i="1" s="1"/>
  <c r="P28" i="1" s="1"/>
  <c r="M24" i="1"/>
  <c r="O24" i="1" s="1"/>
  <c r="L24" i="1"/>
  <c r="N24" i="1" s="1"/>
  <c r="P24" i="1" s="1"/>
  <c r="M20" i="1"/>
  <c r="O20" i="1" s="1"/>
  <c r="L20" i="1"/>
  <c r="N20" i="1" s="1"/>
  <c r="P20" i="1" s="1"/>
  <c r="M16" i="1"/>
  <c r="O16" i="1" s="1"/>
  <c r="L16" i="1"/>
  <c r="N16" i="1" s="1"/>
  <c r="P16" i="1" s="1"/>
  <c r="M12" i="1"/>
  <c r="O12" i="1" s="1"/>
  <c r="L12" i="1"/>
  <c r="N12" i="1" s="1"/>
  <c r="P12" i="1" s="1"/>
  <c r="M8" i="1"/>
  <c r="O8" i="1" s="1"/>
  <c r="L8" i="1"/>
  <c r="N8" i="1" s="1"/>
  <c r="P8" i="1" s="1"/>
  <c r="M4" i="1"/>
  <c r="O4" i="1" s="1"/>
  <c r="L4" i="1"/>
  <c r="N4" i="1" s="1"/>
  <c r="P4" i="1" s="1"/>
  <c r="M500" i="1"/>
  <c r="O500" i="1" s="1"/>
  <c r="P500" i="1" s="1"/>
  <c r="M492" i="1"/>
  <c r="O492" i="1" s="1"/>
  <c r="P492" i="1" s="1"/>
  <c r="M484" i="1"/>
  <c r="O484" i="1" s="1"/>
  <c r="P484" i="1" s="1"/>
  <c r="M476" i="1"/>
  <c r="O476" i="1" s="1"/>
  <c r="P476" i="1" s="1"/>
  <c r="M468" i="1"/>
  <c r="O468" i="1" s="1"/>
  <c r="P468" i="1" s="1"/>
  <c r="M460" i="1"/>
  <c r="O460" i="1" s="1"/>
  <c r="P460" i="1" s="1"/>
  <c r="M452" i="1"/>
  <c r="O452" i="1" s="1"/>
  <c r="P452" i="1" s="1"/>
  <c r="M444" i="1"/>
  <c r="O444" i="1" s="1"/>
  <c r="P444" i="1" s="1"/>
  <c r="M436" i="1"/>
  <c r="O436" i="1" s="1"/>
  <c r="P436" i="1" s="1"/>
  <c r="M428" i="1"/>
  <c r="O428" i="1" s="1"/>
  <c r="P428" i="1" s="1"/>
  <c r="M420" i="1"/>
  <c r="O420" i="1" s="1"/>
  <c r="P420" i="1" s="1"/>
  <c r="M412" i="1"/>
  <c r="O412" i="1" s="1"/>
  <c r="P412" i="1" s="1"/>
  <c r="M404" i="1"/>
  <c r="O404" i="1" s="1"/>
  <c r="P404" i="1" s="1"/>
  <c r="M396" i="1"/>
  <c r="O396" i="1" s="1"/>
  <c r="P396" i="1" s="1"/>
  <c r="M388" i="1"/>
  <c r="O388" i="1" s="1"/>
  <c r="P388" i="1" s="1"/>
  <c r="M380" i="1"/>
  <c r="O380" i="1" s="1"/>
  <c r="P380" i="1" s="1"/>
  <c r="M372" i="1"/>
  <c r="O372" i="1" s="1"/>
  <c r="P372" i="1" s="1"/>
  <c r="M364" i="1"/>
  <c r="O364" i="1" s="1"/>
  <c r="M389" i="1"/>
  <c r="O389" i="1" s="1"/>
  <c r="P389" i="1" s="1"/>
  <c r="M373" i="1"/>
  <c r="O373" i="1" s="1"/>
  <c r="P373" i="1" s="1"/>
  <c r="L341" i="1"/>
  <c r="N341" i="1" s="1"/>
  <c r="P341" i="1" s="1"/>
  <c r="L325" i="1"/>
  <c r="N325" i="1" s="1"/>
  <c r="P325" i="1" s="1"/>
  <c r="L309" i="1"/>
  <c r="N309" i="1" s="1"/>
  <c r="P309" i="1" s="1"/>
  <c r="L293" i="1"/>
  <c r="N293" i="1" s="1"/>
  <c r="P293" i="1" s="1"/>
  <c r="L277" i="1"/>
  <c r="N277" i="1" s="1"/>
  <c r="P277" i="1" s="1"/>
  <c r="L261" i="1"/>
  <c r="N261" i="1" s="1"/>
  <c r="P261" i="1" s="1"/>
  <c r="L245" i="1"/>
  <c r="N245" i="1" s="1"/>
  <c r="P245" i="1" s="1"/>
  <c r="L229" i="1"/>
  <c r="N229" i="1" s="1"/>
  <c r="P229" i="1" s="1"/>
  <c r="L213" i="1"/>
  <c r="N213" i="1" s="1"/>
  <c r="P213" i="1" s="1"/>
  <c r="L197" i="1"/>
  <c r="N197" i="1" s="1"/>
  <c r="P197" i="1" s="1"/>
  <c r="L181" i="1"/>
  <c r="N181" i="1" s="1"/>
  <c r="P181" i="1" s="1"/>
  <c r="L165" i="1"/>
  <c r="N165" i="1" s="1"/>
  <c r="P165" i="1" s="1"/>
  <c r="L149" i="1"/>
  <c r="N149" i="1" s="1"/>
  <c r="P149" i="1" s="1"/>
  <c r="L133" i="1"/>
  <c r="N133" i="1" s="1"/>
  <c r="P133" i="1" s="1"/>
  <c r="L117" i="1"/>
  <c r="N117" i="1" s="1"/>
  <c r="P117" i="1" s="1"/>
  <c r="L101" i="1"/>
  <c r="N101" i="1" s="1"/>
  <c r="P101" i="1" s="1"/>
  <c r="L85" i="1"/>
  <c r="N85" i="1" s="1"/>
  <c r="P85" i="1" s="1"/>
  <c r="L69" i="1"/>
  <c r="N69" i="1" s="1"/>
  <c r="P69" i="1" s="1"/>
  <c r="L53" i="1"/>
  <c r="N53" i="1" s="1"/>
  <c r="P53" i="1" s="1"/>
  <c r="L37" i="1"/>
  <c r="N37" i="1" s="1"/>
  <c r="P37" i="1" s="1"/>
  <c r="L21" i="1"/>
  <c r="N21" i="1" s="1"/>
  <c r="P21" i="1" s="1"/>
  <c r="L5" i="1"/>
  <c r="N5" i="1" s="1"/>
  <c r="P5" i="1" s="1"/>
  <c r="L3" i="1"/>
  <c r="N3" i="1" s="1"/>
  <c r="M3" i="1"/>
  <c r="O3" i="1" s="1"/>
  <c r="P3" i="1" l="1"/>
  <c r="P348" i="1"/>
  <c r="P356" i="1"/>
  <c r="P487" i="1"/>
  <c r="P13" i="1"/>
  <c r="P77" i="1"/>
  <c r="P141" i="1"/>
  <c r="P205" i="1"/>
  <c r="P269" i="1"/>
  <c r="P493" i="1"/>
  <c r="P34" i="1"/>
  <c r="P54" i="1"/>
  <c r="P78" i="1"/>
  <c r="P102" i="1"/>
  <c r="P146" i="1"/>
  <c r="P178" i="1"/>
  <c r="P198" i="1"/>
  <c r="P258" i="1"/>
  <c r="P282" i="1"/>
  <c r="P310" i="1"/>
  <c r="P378" i="1"/>
  <c r="P394" i="1"/>
  <c r="P434" i="1"/>
  <c r="P470" i="1"/>
  <c r="P478" i="1"/>
  <c r="P430" i="1"/>
  <c r="P368" i="1"/>
  <c r="P344" i="1"/>
  <c r="P352" i="1"/>
  <c r="P360" i="1"/>
  <c r="P357" i="1"/>
  <c r="P35" i="1"/>
  <c r="P51" i="1"/>
  <c r="P71" i="1"/>
  <c r="P87" i="1"/>
  <c r="P143" i="1"/>
  <c r="P167" i="1"/>
  <c r="P191" i="1"/>
  <c r="P223" i="1"/>
  <c r="P243" i="1"/>
  <c r="P291" i="1"/>
  <c r="P307" i="1"/>
  <c r="P331" i="1"/>
  <c r="P343" i="1"/>
  <c r="P367" i="1"/>
  <c r="P391" i="1"/>
  <c r="P443" i="1"/>
  <c r="P455" i="1"/>
  <c r="P479" i="1"/>
  <c r="P499" i="1"/>
  <c r="P26" i="1"/>
  <c r="P58" i="1"/>
  <c r="P90" i="1"/>
  <c r="P122" i="1"/>
  <c r="P138" i="1"/>
  <c r="P170" i="1"/>
  <c r="P214" i="1"/>
  <c r="P222" i="1"/>
  <c r="P238" i="1"/>
  <c r="P254" i="1"/>
  <c r="P290" i="1"/>
  <c r="P314" i="1"/>
  <c r="P334" i="1"/>
  <c r="P346" i="1"/>
  <c r="P358" i="1"/>
  <c r="P402" i="1"/>
  <c r="P426" i="1"/>
  <c r="P454" i="1"/>
  <c r="P494" i="1"/>
  <c r="P15" i="1"/>
  <c r="P27" i="1"/>
  <c r="P39" i="1"/>
  <c r="P63" i="1"/>
  <c r="P95" i="1"/>
  <c r="P115" i="1"/>
  <c r="P127" i="1"/>
  <c r="P147" i="1"/>
  <c r="P159" i="1"/>
  <c r="P179" i="1"/>
  <c r="P203" i="1"/>
  <c r="P215" i="1"/>
  <c r="P247" i="1"/>
  <c r="P271" i="1"/>
  <c r="P283" i="1"/>
  <c r="P295" i="1"/>
  <c r="P319" i="1"/>
  <c r="P359" i="1"/>
  <c r="P383" i="1"/>
  <c r="P403" i="1"/>
  <c r="P415" i="1"/>
  <c r="P427" i="1"/>
  <c r="P451" i="1"/>
  <c r="P467" i="1"/>
  <c r="P106" i="1"/>
  <c r="P150" i="1"/>
  <c r="P354" i="1"/>
  <c r="P490" i="1"/>
  <c r="P73" i="1"/>
  <c r="P36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6D8754-FACD-477E-8BA8-4213D32C26BA}" keepAlive="1" name="Query - Shoe_Sales" description="Connection to the 'Shoe_Sales' query in the workbook." type="5" refreshedVersion="8" background="1" saveData="1">
    <dbPr connection="Provider=Microsoft.Mashup.OleDb.1;Data Source=$Workbook$;Location=Shoe_Sales;Extended Properties=&quot;&quot;" command="SELECT * FROM [Shoe_Sales]"/>
  </connection>
</connections>
</file>

<file path=xl/sharedStrings.xml><?xml version="1.0" encoding="utf-8"?>
<sst xmlns="http://schemas.openxmlformats.org/spreadsheetml/2006/main" count="7636" uniqueCount="127">
  <si>
    <t>Date</t>
  </si>
  <si>
    <t>Product</t>
  </si>
  <si>
    <t>Category</t>
  </si>
  <si>
    <t>Color</t>
  </si>
  <si>
    <t>Brand</t>
  </si>
  <si>
    <t>Country</t>
  </si>
  <si>
    <t>Quantity</t>
  </si>
  <si>
    <t>derby</t>
  </si>
  <si>
    <t>FORMAL</t>
  </si>
  <si>
    <t>Black</t>
  </si>
  <si>
    <t>Clarks</t>
  </si>
  <si>
    <t>Nigeria</t>
  </si>
  <si>
    <t>CANVAS</t>
  </si>
  <si>
    <t>Casual</t>
  </si>
  <si>
    <t>Brown</t>
  </si>
  <si>
    <t>steve madden</t>
  </si>
  <si>
    <t>Uganda</t>
  </si>
  <si>
    <t>Slippers</t>
  </si>
  <si>
    <t>open</t>
  </si>
  <si>
    <t>Red</t>
  </si>
  <si>
    <t>NIKE</t>
  </si>
  <si>
    <t>Ghana</t>
  </si>
  <si>
    <t>loafers</t>
  </si>
  <si>
    <t>CASUAL</t>
  </si>
  <si>
    <t>Blue</t>
  </si>
  <si>
    <t>Zara</t>
  </si>
  <si>
    <t>UK</t>
  </si>
  <si>
    <t>BOOTS</t>
  </si>
  <si>
    <t>Utility</t>
  </si>
  <si>
    <t>Green</t>
  </si>
  <si>
    <t>timberland</t>
  </si>
  <si>
    <t>USA</t>
  </si>
  <si>
    <t>Oxford</t>
  </si>
  <si>
    <t>formal</t>
  </si>
  <si>
    <t>CLARKS</t>
  </si>
  <si>
    <t>Kenya</t>
  </si>
  <si>
    <t>brogues</t>
  </si>
  <si>
    <t>India</t>
  </si>
  <si>
    <t>MONK STRAPS</t>
  </si>
  <si>
    <t>Formal</t>
  </si>
  <si>
    <t>zara</t>
  </si>
  <si>
    <t>Germany</t>
  </si>
  <si>
    <t>Derby</t>
  </si>
  <si>
    <t>Albania</t>
  </si>
  <si>
    <t>canvas</t>
  </si>
  <si>
    <t>Steve Madden</t>
  </si>
  <si>
    <t>Cyprus</t>
  </si>
  <si>
    <t>SLIPPERS</t>
  </si>
  <si>
    <t>Open</t>
  </si>
  <si>
    <t>nike</t>
  </si>
  <si>
    <t>Australia</t>
  </si>
  <si>
    <t>Loafers</t>
  </si>
  <si>
    <t>casual</t>
  </si>
  <si>
    <t>ZARA</t>
  </si>
  <si>
    <t>Canada</t>
  </si>
  <si>
    <t>boots</t>
  </si>
  <si>
    <t>UTILITY</t>
  </si>
  <si>
    <t>Timberland</t>
  </si>
  <si>
    <t>Philippines</t>
  </si>
  <si>
    <t>OXFORD</t>
  </si>
  <si>
    <t>clarks</t>
  </si>
  <si>
    <t>Zimbabwe</t>
  </si>
  <si>
    <t>Brogues</t>
  </si>
  <si>
    <t>monk straps</t>
  </si>
  <si>
    <t>DERBY</t>
  </si>
  <si>
    <t>Canvas</t>
  </si>
  <si>
    <t>STEVE MADDEN</t>
  </si>
  <si>
    <t>slippers</t>
  </si>
  <si>
    <t>OPEN</t>
  </si>
  <si>
    <t>Nike</t>
  </si>
  <si>
    <t>LOAFERS</t>
  </si>
  <si>
    <t>Boots</t>
  </si>
  <si>
    <t>utility</t>
  </si>
  <si>
    <t>TIMBERLAND</t>
  </si>
  <si>
    <t>oxford</t>
  </si>
  <si>
    <t>BROGUES</t>
  </si>
  <si>
    <t>Monk Straps</t>
  </si>
  <si>
    <t>Price</t>
  </si>
  <si>
    <t>Cost</t>
  </si>
  <si>
    <t>Bank Transfer</t>
  </si>
  <si>
    <t>Card</t>
  </si>
  <si>
    <t>Cash</t>
  </si>
  <si>
    <t>Mobile Money</t>
  </si>
  <si>
    <t>Payment Type</t>
  </si>
  <si>
    <t xml:space="preserve">monk straps </t>
  </si>
  <si>
    <t xml:space="preserve">BROGUES </t>
  </si>
  <si>
    <t xml:space="preserve">Canvas </t>
  </si>
  <si>
    <t>Product Cleaned</t>
  </si>
  <si>
    <t>Business Questions:</t>
  </si>
  <si>
    <t>How is the business performing overall?</t>
  </si>
  <si>
    <t>How have revenue and profit changed over time?</t>
  </si>
  <si>
    <t>Which products are driving sales?</t>
  </si>
  <si>
    <t>Which products are driving profitability?</t>
  </si>
  <si>
    <t>Which categories and brands perform best?</t>
  </si>
  <si>
    <t>Which countries contribute the most to the business?</t>
  </si>
  <si>
    <t>What purchasing patterns can we identify from payment method and product preferences?</t>
  </si>
  <si>
    <t>What actions should management take based on the findings?</t>
  </si>
  <si>
    <t>category Cleaned</t>
  </si>
  <si>
    <t>Brand Cleaned</t>
  </si>
  <si>
    <t>Selling Price</t>
  </si>
  <si>
    <t>Cost Price</t>
  </si>
  <si>
    <t>Revenue</t>
  </si>
  <si>
    <t>Profit</t>
  </si>
  <si>
    <t>Profit Margin</t>
  </si>
  <si>
    <t>Total Cost</t>
  </si>
  <si>
    <t>Total Revenue</t>
  </si>
  <si>
    <t>Total Profit</t>
  </si>
  <si>
    <t>Quantity Sold</t>
  </si>
  <si>
    <t>Grand Total</t>
  </si>
  <si>
    <t>Jan</t>
  </si>
  <si>
    <t>Feb</t>
  </si>
  <si>
    <t>Mar</t>
  </si>
  <si>
    <t>Apr</t>
  </si>
  <si>
    <t>May</t>
  </si>
  <si>
    <t>Jun</t>
  </si>
  <si>
    <t>Jul</t>
  </si>
  <si>
    <t>Aug</t>
  </si>
  <si>
    <t>Total Profit Margin</t>
  </si>
  <si>
    <t xml:space="preserve">Total Profit </t>
  </si>
  <si>
    <t>Month</t>
  </si>
  <si>
    <t>Revenue by Category</t>
  </si>
  <si>
    <t>Revenue by Brand</t>
  </si>
  <si>
    <t>Revenue by Product</t>
  </si>
  <si>
    <t>Profit by country</t>
  </si>
  <si>
    <t xml:space="preserve">   </t>
  </si>
  <si>
    <t>Count of Payment Type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</si>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</sst>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dd/yyyy"/>
    <numFmt numFmtId="165" formatCode="&quot;$&quot;#,##0.00"/>
    <numFmt numFmtId="166" formatCode="0.0%"/>
    <numFmt numFmtId="167" formatCode="_-* #,##0_-;\-* #,##0_-;_-* &quot;-&quot;??_-;_-@_-"/>
    <numFmt numFmtId="168" formatCode="&quot;$&quot;#,##0;[Red]&quot;$&quot;#,##0"/>
    <numFmt numFmtId="169" formatCode="[$$-540A]#,##0"/>
  </numFmts>
  <fonts count="7" x14ac:knownFonts="1">
    <font>
      <sz val="11"/>
      <color theme="1"/>
      <name val="Calibri"/>
    </font>
    <font>
      <b/>
      <sz val="11"/>
      <color rgb="FFFFFFFF"/>
      <name val="Calibri"/>
      <family val="2"/>
    </font>
    <font>
      <sz val="11"/>
      <color theme="1"/>
      <name val="Calibri"/>
      <family val="2"/>
    </font>
    <font>
      <sz val="11"/>
      <color theme="1"/>
      <name val="Calibri"/>
    </font>
    <font>
      <b/>
      <sz val="11"/>
      <color theme="0"/>
      <name val="Calibri"/>
      <family val="2"/>
    </font>
    <font>
      <sz val="11"/>
      <color theme="0"/>
      <name val="Calibri"/>
      <family val="2"/>
    </font>
    <font>
      <b/>
      <sz val="14"/>
      <color theme="3" tint="-0.499984740745262"/>
      <name val="Calibri"/>
      <family val="2"/>
    </font>
  </fonts>
  <fills count="8">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rgb="FF1F4E78"/>
        <bgColor indexed="64"/>
      </patternFill>
    </fill>
    <fill>
      <patternFill patternType="solid">
        <fgColor theme="3" tint="0.39997558519241921"/>
        <bgColor indexed="64"/>
      </patternFill>
    </fill>
    <fill>
      <patternFill patternType="solid">
        <fgColor rgb="FF227ACB"/>
        <bgColor indexed="64"/>
      </patternFill>
    </fill>
    <fill>
      <patternFill patternType="solid">
        <fgColor theme="0"/>
        <bgColor indexed="64"/>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32">
    <xf numFmtId="0" fontId="0" fillId="0" borderId="0" xfId="0"/>
    <xf numFmtId="0" fontId="2" fillId="0" borderId="1" xfId="0" applyFont="1" applyBorder="1"/>
    <xf numFmtId="0" fontId="2" fillId="3" borderId="2" xfId="0" applyFont="1" applyFill="1" applyBorder="1"/>
    <xf numFmtId="1" fontId="2" fillId="3" borderId="2" xfId="0" applyNumberFormat="1" applyFont="1" applyFill="1" applyBorder="1"/>
    <xf numFmtId="0" fontId="2" fillId="0" borderId="2" xfId="0" applyFont="1" applyBorder="1"/>
    <xf numFmtId="1" fontId="2" fillId="0" borderId="2" xfId="0" applyNumberFormat="1" applyFont="1" applyBorder="1"/>
    <xf numFmtId="1" fontId="2" fillId="0" borderId="1" xfId="0" applyNumberFormat="1" applyFont="1" applyBorder="1"/>
    <xf numFmtId="165" fontId="0" fillId="0" borderId="0" xfId="0" applyNumberFormat="1"/>
    <xf numFmtId="164" fontId="2" fillId="3" borderId="2" xfId="0" applyNumberFormat="1" applyFont="1" applyFill="1" applyBorder="1"/>
    <xf numFmtId="164" fontId="2" fillId="0" borderId="2" xfId="0" applyNumberFormat="1" applyFont="1" applyBorder="1"/>
    <xf numFmtId="164" fontId="2" fillId="0" borderId="1" xfId="0" applyNumberFormat="1" applyFont="1" applyBorder="1"/>
    <xf numFmtId="0" fontId="1" fillId="2" borderId="0" xfId="0" applyFont="1" applyFill="1" applyAlignment="1">
      <alignment horizontal="center" vertical="center"/>
    </xf>
    <xf numFmtId="0" fontId="2" fillId="0" borderId="0" xfId="0" applyFont="1"/>
    <xf numFmtId="0" fontId="1" fillId="4" borderId="0" xfId="0" applyFont="1" applyFill="1" applyAlignment="1">
      <alignment horizontal="center" vertical="center"/>
    </xf>
    <xf numFmtId="166" fontId="1" fillId="4" borderId="0" xfId="1" applyNumberFormat="1" applyFont="1" applyFill="1" applyAlignment="1">
      <alignment horizontal="center" vertical="center"/>
    </xf>
    <xf numFmtId="166" fontId="2" fillId="0" borderId="0" xfId="1" applyNumberFormat="1" applyFont="1"/>
    <xf numFmtId="166" fontId="0" fillId="0" borderId="0" xfId="1" applyNumberFormat="1" applyFont="1"/>
    <xf numFmtId="22"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pivotButton="1"/>
    <xf numFmtId="0" fontId="0" fillId="0" borderId="0" xfId="0" applyAlignment="1">
      <alignment horizontal="left"/>
    </xf>
    <xf numFmtId="0" fontId="0" fillId="5" borderId="0" xfId="0" applyFill="1"/>
    <xf numFmtId="0" fontId="0" fillId="6" borderId="0" xfId="0" applyFill="1"/>
    <xf numFmtId="169" fontId="0" fillId="0" borderId="0" xfId="0" applyNumberFormat="1"/>
    <xf numFmtId="0" fontId="0" fillId="7" borderId="0" xfId="0" applyFill="1"/>
    <xf numFmtId="0" fontId="4" fillId="6" borderId="0" xfId="0" applyFont="1" applyFill="1" applyAlignment="1">
      <alignment horizontal="center"/>
    </xf>
    <xf numFmtId="0" fontId="5" fillId="6" borderId="0" xfId="0" applyFont="1" applyFill="1" applyAlignment="1">
      <alignment horizontal="center"/>
    </xf>
    <xf numFmtId="0" fontId="0" fillId="6" borderId="0" xfId="0" applyFill="1" applyAlignment="1">
      <alignment horizontal="center"/>
    </xf>
    <xf numFmtId="0" fontId="6" fillId="0" borderId="0" xfId="0" applyFont="1" applyAlignment="1">
      <alignment horizontal="center"/>
    </xf>
    <xf numFmtId="0" fontId="0" fillId="0" borderId="0" xfId="0" applyAlignment="1">
      <alignment horizontal="center"/>
    </xf>
  </cellXfs>
  <cellStyles count="2">
    <cellStyle name="Normal" xfId="0" builtinId="0"/>
    <cellStyle name="Percent" xfId="1" builtinId="5"/>
  </cellStyles>
  <dxfs count="42">
    <dxf>
      <font>
        <b val="0"/>
        <i val="0"/>
        <strike val="0"/>
        <condense val="0"/>
        <extend val="0"/>
        <outline val="0"/>
        <shadow val="0"/>
        <u val="none"/>
        <vertAlign val="baseline"/>
        <sz val="11"/>
        <color theme="1"/>
        <name val="Calibri"/>
        <family val="2"/>
        <scheme val="none"/>
      </font>
      <numFmt numFmtId="166" formatCode="0.0%"/>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mm/dd/yyyy"/>
      <border diagonalUp="0" diagonalDown="0">
        <left/>
        <right/>
        <top style="thin">
          <color theme="4" tint="0.39997558519241921"/>
        </top>
        <bottom/>
        <vertical/>
        <horizontal/>
      </border>
    </dxf>
    <dxf>
      <border outline="0">
        <left style="thin">
          <color theme="4" tint="0.39997558519241921"/>
        </left>
        <top style="thin">
          <color theme="4" tint="0.39997558519241921"/>
        </top>
      </border>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0" indent="0" justifyLastLine="0" shrinkToFit="0" readingOrder="0"/>
    </dxf>
    <dxf>
      <numFmt numFmtId="168" formatCode="&quot;$&quot;#,##0;[Red]&quot;$&quot;#,##0"/>
    </dxf>
    <dxf>
      <numFmt numFmtId="169" formatCode="[$$-540A]#,##0"/>
    </dxf>
    <dxf>
      <numFmt numFmtId="168" formatCode="&quot;$&quot;#,##0;[Red]&quot;$&quot;#,##0"/>
    </dxf>
    <dxf>
      <numFmt numFmtId="167" formatCode="_-* #,##0_-;\-* #,##0_-;_-* &quot;-&quot;??_-;_-@_-"/>
    </dxf>
    <dxf>
      <numFmt numFmtId="168" formatCode="&quot;$&quot;#,##0;[Red]&quot;$&quot;#,##0"/>
    </dxf>
    <dxf>
      <numFmt numFmtId="168" formatCode="&quot;$&quot;#,##0;[Red]&quot;$&quot;#,##0"/>
    </dxf>
    <dxf>
      <numFmt numFmtId="168" formatCode="&quot;$&quot;#,##0;[Red]&quot;$&quot;#,##0"/>
    </dxf>
    <dxf>
      <numFmt numFmtId="166" formatCode="0.0%"/>
    </dxf>
    <dxf>
      <numFmt numFmtId="169" formatCode="[$$-540A]#,##0"/>
    </dxf>
    <dxf>
      <numFmt numFmtId="168" formatCode="&quot;$&quot;#,##0;[Red]&quot;$&quot;#,##0"/>
    </dxf>
    <dxf>
      <numFmt numFmtId="168" formatCode="&quot;$&quot;#,##0;[Red]&quot;$&quot;#,##0"/>
    </dxf>
    <dxf>
      <numFmt numFmtId="166"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s>
  <tableStyles count="1" defaultTableStyle="TableStyleMedium2" defaultPivotStyle="PivotStyleLight16">
    <tableStyle name="Invisible" pivot="0" table="0" count="0" xr9:uid="{A486BBED-B03D-4E8E-AE7B-B2AC4EBB054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Generated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A"/>
        </a:p>
      </c:txPr>
    </c:title>
    <c:autoTitleDeleted val="0"/>
    <c:pivotFmts>
      <c:pivotFmt>
        <c:idx val="0"/>
        <c:spPr>
          <a:ln w="15875" cap="rnd">
            <a:solidFill>
              <a:schemeClr val="accent2"/>
            </a:solidFill>
            <a:round/>
          </a:ln>
          <a:effectLst/>
        </c:spPr>
        <c:marker>
          <c:symbol val="diamond"/>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Table'!$J$2</c:f>
              <c:strCache>
                <c:ptCount val="1"/>
                <c:pt idx="0">
                  <c:v>Total</c:v>
                </c:pt>
              </c:strCache>
            </c:strRef>
          </c:tx>
          <c:spPr>
            <a:ln w="15875" cap="rnd">
              <a:solidFill>
                <a:schemeClr val="accent2"/>
              </a:solidFill>
              <a:round/>
            </a:ln>
            <a:effectLst/>
          </c:spPr>
          <c:marker>
            <c:symbol val="diamond"/>
            <c:size val="5"/>
            <c:spPr>
              <a:solidFill>
                <a:schemeClr val="accent2"/>
              </a:solidFill>
              <a:ln w="9525">
                <a:solidFill>
                  <a:schemeClr val="accent2"/>
                </a:solidFill>
              </a:ln>
              <a:effectLst/>
            </c:spPr>
          </c:marker>
          <c:cat>
            <c:strRef>
              <c:f>'Pivot Table'!$I$3:$I$11</c:f>
              <c:strCache>
                <c:ptCount val="8"/>
                <c:pt idx="0">
                  <c:v>Jan</c:v>
                </c:pt>
                <c:pt idx="1">
                  <c:v>Feb</c:v>
                </c:pt>
                <c:pt idx="2">
                  <c:v>Mar</c:v>
                </c:pt>
                <c:pt idx="3">
                  <c:v>Apr</c:v>
                </c:pt>
                <c:pt idx="4">
                  <c:v>May</c:v>
                </c:pt>
                <c:pt idx="5">
                  <c:v>Jun</c:v>
                </c:pt>
                <c:pt idx="6">
                  <c:v>Jul</c:v>
                </c:pt>
                <c:pt idx="7">
                  <c:v>Aug</c:v>
                </c:pt>
              </c:strCache>
            </c:strRef>
          </c:cat>
          <c:val>
            <c:numRef>
              <c:f>'Pivot Table'!$J$3:$J$11</c:f>
              <c:numCache>
                <c:formatCode>"$"#,##0;[Red]"$"#,##0</c:formatCode>
                <c:ptCount val="8"/>
                <c:pt idx="0">
                  <c:v>15969</c:v>
                </c:pt>
                <c:pt idx="1">
                  <c:v>15129</c:v>
                </c:pt>
                <c:pt idx="2">
                  <c:v>19014</c:v>
                </c:pt>
                <c:pt idx="3">
                  <c:v>16132</c:v>
                </c:pt>
                <c:pt idx="4">
                  <c:v>15486</c:v>
                </c:pt>
                <c:pt idx="5">
                  <c:v>28993</c:v>
                </c:pt>
                <c:pt idx="6">
                  <c:v>17765</c:v>
                </c:pt>
                <c:pt idx="7">
                  <c:v>7464</c:v>
                </c:pt>
              </c:numCache>
            </c:numRef>
          </c:val>
          <c:smooth val="1"/>
          <c:extLst>
            <c:ext xmlns:c16="http://schemas.microsoft.com/office/drawing/2014/chart" uri="{C3380CC4-5D6E-409C-BE32-E72D297353CC}">
              <c16:uniqueId val="{00000000-451F-48FC-A0DE-D989DC15F8A0}"/>
            </c:ext>
          </c:extLst>
        </c:ser>
        <c:dLbls>
          <c:showLegendKey val="0"/>
          <c:showVal val="0"/>
          <c:showCatName val="0"/>
          <c:showSerName val="0"/>
          <c:showPercent val="0"/>
          <c:showBubbleSize val="0"/>
        </c:dLbls>
        <c:marker val="1"/>
        <c:smooth val="0"/>
        <c:axId val="1818562416"/>
        <c:axId val="1768652480"/>
      </c:lineChart>
      <c:catAx>
        <c:axId val="18185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68652480"/>
        <c:crosses val="autoZero"/>
        <c:auto val="1"/>
        <c:lblAlgn val="ctr"/>
        <c:lblOffset val="100"/>
        <c:noMultiLvlLbl val="0"/>
      </c:catAx>
      <c:valAx>
        <c:axId val="1768652480"/>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81856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sz="900" b="1">
                <a:solidFill>
                  <a:schemeClr val="tx2">
                    <a:lumMod val="50000"/>
                  </a:schemeClr>
                </a:solidFill>
              </a:rPr>
              <a:t>Revenue Generated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NA"/>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Table'!$O$2</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Table'!$N$3:$N$11</c:f>
              <c:strCache>
                <c:ptCount val="8"/>
                <c:pt idx="0">
                  <c:v>Boots</c:v>
                </c:pt>
                <c:pt idx="1">
                  <c:v>Brogues</c:v>
                </c:pt>
                <c:pt idx="2">
                  <c:v>Canvas</c:v>
                </c:pt>
                <c:pt idx="3">
                  <c:v>Derby</c:v>
                </c:pt>
                <c:pt idx="4">
                  <c:v>Loafers</c:v>
                </c:pt>
                <c:pt idx="5">
                  <c:v>Monk Straps</c:v>
                </c:pt>
                <c:pt idx="6">
                  <c:v>Oxford</c:v>
                </c:pt>
                <c:pt idx="7">
                  <c:v>Slippers</c:v>
                </c:pt>
              </c:strCache>
            </c:strRef>
          </c:cat>
          <c:val>
            <c:numRef>
              <c:f>'Pivot Table'!$O$3:$O$11</c:f>
              <c:numCache>
                <c:formatCode>"$"#,##0;[Red]"$"#,##0</c:formatCode>
                <c:ptCount val="8"/>
                <c:pt idx="0">
                  <c:v>15352</c:v>
                </c:pt>
                <c:pt idx="1">
                  <c:v>23968</c:v>
                </c:pt>
                <c:pt idx="2">
                  <c:v>28160</c:v>
                </c:pt>
                <c:pt idx="3">
                  <c:v>6528</c:v>
                </c:pt>
                <c:pt idx="4">
                  <c:v>7344</c:v>
                </c:pt>
                <c:pt idx="5">
                  <c:v>16821</c:v>
                </c:pt>
                <c:pt idx="6">
                  <c:v>19215</c:v>
                </c:pt>
                <c:pt idx="7">
                  <c:v>18564</c:v>
                </c:pt>
              </c:numCache>
            </c:numRef>
          </c:val>
          <c:extLst>
            <c:ext xmlns:c16="http://schemas.microsoft.com/office/drawing/2014/chart" uri="{C3380CC4-5D6E-409C-BE32-E72D297353CC}">
              <c16:uniqueId val="{00000000-73A5-4BB5-BE04-A430C26FE8D3}"/>
            </c:ext>
          </c:extLst>
        </c:ser>
        <c:dLbls>
          <c:dLblPos val="outEnd"/>
          <c:showLegendKey val="0"/>
          <c:showVal val="1"/>
          <c:showCatName val="0"/>
          <c:showSerName val="0"/>
          <c:showPercent val="0"/>
          <c:showBubbleSize val="0"/>
        </c:dLbls>
        <c:gapWidth val="150"/>
        <c:overlap val="-27"/>
        <c:axId val="1818563344"/>
        <c:axId val="1768646720"/>
      </c:barChart>
      <c:catAx>
        <c:axId val="181856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68646720"/>
        <c:crosses val="autoZero"/>
        <c:auto val="1"/>
        <c:lblAlgn val="ctr"/>
        <c:lblOffset val="100"/>
        <c:noMultiLvlLbl val="0"/>
      </c:catAx>
      <c:valAx>
        <c:axId val="1768646720"/>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81856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Proportion of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tx2">
              <a:lumMod val="75000"/>
            </a:schemeClr>
          </a:solidFill>
          <a:ln w="19050">
            <a:solidFill>
              <a:schemeClr val="lt1"/>
            </a:solidFill>
          </a:ln>
          <a:effectLst/>
        </c:spPr>
        <c:dLbl>
          <c:idx val="0"/>
          <c:layout>
            <c:manualLayout>
              <c:x val="0.14252873563218382"/>
              <c:y val="-7.8688551676279569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0.20689655172413793"/>
              <c:y val="-5.245903445085304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00B050"/>
          </a:solidFill>
          <a:ln w="19050">
            <a:solidFill>
              <a:schemeClr val="lt1"/>
            </a:solidFill>
          </a:ln>
          <a:effectLst/>
        </c:spPr>
        <c:dLbl>
          <c:idx val="0"/>
          <c:layout>
            <c:manualLayout>
              <c:x val="-0.15172413793103448"/>
              <c:y val="0.2098361378034120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c:spPr>
        <c:dLbl>
          <c:idx val="0"/>
          <c:layout>
            <c:manualLayout>
              <c:x val="0.22068965517241371"/>
              <c:y val="6.120220685932855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Table'!$Y$2</c:f>
              <c:strCache>
                <c:ptCount val="1"/>
                <c:pt idx="0">
                  <c:v>Total</c:v>
                </c:pt>
              </c:strCache>
            </c:strRef>
          </c:tx>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2-CAA1-4629-BD4E-CFC18DCB32FC}"/>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5-CAA1-4629-BD4E-CFC18DCB32FC}"/>
              </c:ext>
            </c:extLst>
          </c:dPt>
          <c:dLbls>
            <c:dLbl>
              <c:idx val="0"/>
              <c:layout>
                <c:manualLayout>
                  <c:x val="0.14252873563218382"/>
                  <c:y val="-7.868855167627956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AA1-4629-BD4E-CFC18DCB32FC}"/>
                </c:ext>
              </c:extLst>
            </c:dLbl>
            <c:dLbl>
              <c:idx val="1"/>
              <c:layout>
                <c:manualLayout>
                  <c:x val="-0.15172413793103448"/>
                  <c:y val="0.2098361378034120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AA1-4629-BD4E-CFC18DCB32FC}"/>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Table'!$X$3:$X$5</c:f>
              <c:strCache>
                <c:ptCount val="2"/>
                <c:pt idx="0">
                  <c:v>Casual</c:v>
                </c:pt>
                <c:pt idx="1">
                  <c:v>Open</c:v>
                </c:pt>
              </c:strCache>
            </c:strRef>
          </c:cat>
          <c:val>
            <c:numRef>
              <c:f>'Pivot Table'!$Y$3:$Y$5</c:f>
              <c:numCache>
                <c:formatCode>"$"#,##0;[Red]"$"#,##0</c:formatCode>
                <c:ptCount val="2"/>
                <c:pt idx="0">
                  <c:v>82917</c:v>
                </c:pt>
                <c:pt idx="1">
                  <c:v>53035</c:v>
                </c:pt>
              </c:numCache>
            </c:numRef>
          </c:val>
          <c:extLst>
            <c:ext xmlns:c16="http://schemas.microsoft.com/office/drawing/2014/chart" uri="{C3380CC4-5D6E-409C-BE32-E72D297353CC}">
              <c16:uniqueId val="{00000000-CAA1-4629-BD4E-CFC18DCB32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Revenue Generated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Table'!$AF$3:$AF$8</c:f>
              <c:strCache>
                <c:ptCount val="5"/>
                <c:pt idx="0">
                  <c:v>Clarks</c:v>
                </c:pt>
                <c:pt idx="1">
                  <c:v>Nike</c:v>
                </c:pt>
                <c:pt idx="2">
                  <c:v>Steve Madden</c:v>
                </c:pt>
                <c:pt idx="3">
                  <c:v>Timberland</c:v>
                </c:pt>
                <c:pt idx="4">
                  <c:v>Zara</c:v>
                </c:pt>
              </c:strCache>
            </c:strRef>
          </c:cat>
          <c:val>
            <c:numRef>
              <c:f>'Pivot Table'!$AG$3:$AG$8</c:f>
              <c:numCache>
                <c:formatCode>"$"#,##0;[Red]"$"#,##0</c:formatCode>
                <c:ptCount val="5"/>
                <c:pt idx="0">
                  <c:v>49122</c:v>
                </c:pt>
                <c:pt idx="1">
                  <c:v>21242</c:v>
                </c:pt>
                <c:pt idx="2">
                  <c:v>14062</c:v>
                </c:pt>
                <c:pt idx="3">
                  <c:v>19559</c:v>
                </c:pt>
                <c:pt idx="4">
                  <c:v>31967</c:v>
                </c:pt>
              </c:numCache>
            </c:numRef>
          </c:val>
          <c:extLst>
            <c:ext xmlns:c16="http://schemas.microsoft.com/office/drawing/2014/chart" uri="{C3380CC4-5D6E-409C-BE32-E72D297353CC}">
              <c16:uniqueId val="{00000000-FDE6-402F-A17D-1C7F011FCEAF}"/>
            </c:ext>
          </c:extLst>
        </c:ser>
        <c:dLbls>
          <c:dLblPos val="outEnd"/>
          <c:showLegendKey val="0"/>
          <c:showVal val="1"/>
          <c:showCatName val="0"/>
          <c:showSerName val="0"/>
          <c:showPercent val="0"/>
          <c:showBubbleSize val="0"/>
        </c:dLbls>
        <c:gapWidth val="182"/>
        <c:axId val="697166192"/>
        <c:axId val="1721772032"/>
      </c:barChart>
      <c:catAx>
        <c:axId val="69716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21772032"/>
        <c:crosses val="autoZero"/>
        <c:auto val="1"/>
        <c:lblAlgn val="ctr"/>
        <c:lblOffset val="100"/>
        <c:noMultiLvlLbl val="0"/>
      </c:catAx>
      <c:valAx>
        <c:axId val="1721772032"/>
        <c:scaling>
          <c:orientation val="minMax"/>
        </c:scaling>
        <c:delete val="0"/>
        <c:axPos val="b"/>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69716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Revenue</a:t>
            </a:r>
            <a:r>
              <a:rPr lang="en-US" sz="1000" b="1" baseline="0"/>
              <a:t> and Profit Generated by Country</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Table'!$AO$2</c:f>
              <c:strCache>
                <c:ptCount val="1"/>
                <c:pt idx="0">
                  <c:v>Total Profit</c:v>
                </c:pt>
              </c:strCache>
            </c:strRef>
          </c:tx>
          <c:spPr>
            <a:solidFill>
              <a:srgbClr val="C00000"/>
            </a:solidFill>
            <a:ln>
              <a:noFill/>
            </a:ln>
            <a:effectLst/>
          </c:spPr>
          <c:invertIfNegative val="0"/>
          <c:cat>
            <c:strRef>
              <c:f>'Pivot Table'!$AN$3:$AN$17</c:f>
              <c:strCache>
                <c:ptCount val="14"/>
                <c:pt idx="0">
                  <c:v>Albania</c:v>
                </c:pt>
                <c:pt idx="1">
                  <c:v>Australia</c:v>
                </c:pt>
                <c:pt idx="2">
                  <c:v>Canada</c:v>
                </c:pt>
                <c:pt idx="3">
                  <c:v>Cyprus</c:v>
                </c:pt>
                <c:pt idx="4">
                  <c:v>Germany</c:v>
                </c:pt>
                <c:pt idx="5">
                  <c:v>Ghana</c:v>
                </c:pt>
                <c:pt idx="6">
                  <c:v>India</c:v>
                </c:pt>
                <c:pt idx="7">
                  <c:v>Kenya</c:v>
                </c:pt>
                <c:pt idx="8">
                  <c:v>Nigeria</c:v>
                </c:pt>
                <c:pt idx="9">
                  <c:v>Philippines</c:v>
                </c:pt>
                <c:pt idx="10">
                  <c:v>Uganda</c:v>
                </c:pt>
                <c:pt idx="11">
                  <c:v>UK</c:v>
                </c:pt>
                <c:pt idx="12">
                  <c:v>USA</c:v>
                </c:pt>
                <c:pt idx="13">
                  <c:v>Zimbabwe</c:v>
                </c:pt>
              </c:strCache>
            </c:strRef>
          </c:cat>
          <c:val>
            <c:numRef>
              <c:f>'Pivot Table'!$AO$3:$AO$17</c:f>
              <c:numCache>
                <c:formatCode>[$$-540A]#,##0</c:formatCode>
                <c:ptCount val="14"/>
                <c:pt idx="0">
                  <c:v>2600</c:v>
                </c:pt>
                <c:pt idx="1">
                  <c:v>2204</c:v>
                </c:pt>
                <c:pt idx="2">
                  <c:v>3426</c:v>
                </c:pt>
                <c:pt idx="3">
                  <c:v>3759</c:v>
                </c:pt>
                <c:pt idx="4">
                  <c:v>2330</c:v>
                </c:pt>
                <c:pt idx="5">
                  <c:v>5500</c:v>
                </c:pt>
                <c:pt idx="6">
                  <c:v>5427</c:v>
                </c:pt>
                <c:pt idx="7">
                  <c:v>2922</c:v>
                </c:pt>
                <c:pt idx="8">
                  <c:v>3436</c:v>
                </c:pt>
                <c:pt idx="9">
                  <c:v>4940</c:v>
                </c:pt>
                <c:pt idx="10">
                  <c:v>6148</c:v>
                </c:pt>
                <c:pt idx="11">
                  <c:v>7261</c:v>
                </c:pt>
                <c:pt idx="12">
                  <c:v>5831</c:v>
                </c:pt>
                <c:pt idx="13">
                  <c:v>6141</c:v>
                </c:pt>
              </c:numCache>
            </c:numRef>
          </c:val>
          <c:extLst>
            <c:ext xmlns:c16="http://schemas.microsoft.com/office/drawing/2014/chart" uri="{C3380CC4-5D6E-409C-BE32-E72D297353CC}">
              <c16:uniqueId val="{00000000-C6D4-4AD9-8C02-1CAA0652F74A}"/>
            </c:ext>
          </c:extLst>
        </c:ser>
        <c:ser>
          <c:idx val="1"/>
          <c:order val="1"/>
          <c:tx>
            <c:strRef>
              <c:f>'Pivot Table'!$AP$2</c:f>
              <c:strCache>
                <c:ptCount val="1"/>
                <c:pt idx="0">
                  <c:v>Total Revenue</c:v>
                </c:pt>
              </c:strCache>
            </c:strRef>
          </c:tx>
          <c:spPr>
            <a:solidFill>
              <a:schemeClr val="tx2">
                <a:lumMod val="50000"/>
              </a:schemeClr>
            </a:solidFill>
            <a:ln>
              <a:noFill/>
            </a:ln>
            <a:effectLst/>
          </c:spPr>
          <c:invertIfNegative val="0"/>
          <c:cat>
            <c:strRef>
              <c:f>'Pivot Table'!$AN$3:$AN$17</c:f>
              <c:strCache>
                <c:ptCount val="14"/>
                <c:pt idx="0">
                  <c:v>Albania</c:v>
                </c:pt>
                <c:pt idx="1">
                  <c:v>Australia</c:v>
                </c:pt>
                <c:pt idx="2">
                  <c:v>Canada</c:v>
                </c:pt>
                <c:pt idx="3">
                  <c:v>Cyprus</c:v>
                </c:pt>
                <c:pt idx="4">
                  <c:v>Germany</c:v>
                </c:pt>
                <c:pt idx="5">
                  <c:v>Ghana</c:v>
                </c:pt>
                <c:pt idx="6">
                  <c:v>India</c:v>
                </c:pt>
                <c:pt idx="7">
                  <c:v>Kenya</c:v>
                </c:pt>
                <c:pt idx="8">
                  <c:v>Nigeria</c:v>
                </c:pt>
                <c:pt idx="9">
                  <c:v>Philippines</c:v>
                </c:pt>
                <c:pt idx="10">
                  <c:v>Uganda</c:v>
                </c:pt>
                <c:pt idx="11">
                  <c:v>UK</c:v>
                </c:pt>
                <c:pt idx="12">
                  <c:v>USA</c:v>
                </c:pt>
                <c:pt idx="13">
                  <c:v>Zimbabwe</c:v>
                </c:pt>
              </c:strCache>
            </c:strRef>
          </c:cat>
          <c:val>
            <c:numRef>
              <c:f>'Pivot Table'!$AP$3:$AP$17</c:f>
              <c:numCache>
                <c:formatCode>[$$-540A]#,##0</c:formatCode>
                <c:ptCount val="14"/>
                <c:pt idx="0">
                  <c:v>5699</c:v>
                </c:pt>
                <c:pt idx="1">
                  <c:v>4942</c:v>
                </c:pt>
                <c:pt idx="2">
                  <c:v>7609</c:v>
                </c:pt>
                <c:pt idx="3">
                  <c:v>8230</c:v>
                </c:pt>
                <c:pt idx="4">
                  <c:v>5248</c:v>
                </c:pt>
                <c:pt idx="5">
                  <c:v>12161</c:v>
                </c:pt>
                <c:pt idx="6">
                  <c:v>11802</c:v>
                </c:pt>
                <c:pt idx="7">
                  <c:v>6370</c:v>
                </c:pt>
                <c:pt idx="8">
                  <c:v>7345</c:v>
                </c:pt>
                <c:pt idx="9">
                  <c:v>11015</c:v>
                </c:pt>
                <c:pt idx="10">
                  <c:v>13616</c:v>
                </c:pt>
                <c:pt idx="11">
                  <c:v>15657</c:v>
                </c:pt>
                <c:pt idx="12">
                  <c:v>12806</c:v>
                </c:pt>
                <c:pt idx="13">
                  <c:v>13452</c:v>
                </c:pt>
              </c:numCache>
            </c:numRef>
          </c:val>
          <c:extLst>
            <c:ext xmlns:c16="http://schemas.microsoft.com/office/drawing/2014/chart" uri="{C3380CC4-5D6E-409C-BE32-E72D297353CC}">
              <c16:uniqueId val="{00000001-C6D4-4AD9-8C02-1CAA0652F74A}"/>
            </c:ext>
          </c:extLst>
        </c:ser>
        <c:dLbls>
          <c:showLegendKey val="0"/>
          <c:showVal val="0"/>
          <c:showCatName val="0"/>
          <c:showSerName val="0"/>
          <c:showPercent val="0"/>
          <c:showBubbleSize val="0"/>
        </c:dLbls>
        <c:gapWidth val="100"/>
        <c:overlap val="27"/>
        <c:axId val="1818565200"/>
        <c:axId val="1721782592"/>
      </c:barChart>
      <c:catAx>
        <c:axId val="181856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21782592"/>
        <c:crosses val="autoZero"/>
        <c:auto val="1"/>
        <c:lblAlgn val="ctr"/>
        <c:lblOffset val="100"/>
        <c:noMultiLvlLbl val="0"/>
      </c:catAx>
      <c:valAx>
        <c:axId val="1721782592"/>
        <c:scaling>
          <c:orientation val="minMax"/>
        </c:scaling>
        <c:delete val="0"/>
        <c:axPos val="l"/>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81856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 5</a:t>
            </a:r>
            <a:r>
              <a:rPr lang="en-US" sz="1100" b="1" baseline="0"/>
              <a:t> Countries by Revenue Generated</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Table'!$AZ$3</c:f>
              <c:strCache>
                <c:ptCount val="1"/>
                <c:pt idx="0">
                  <c:v>Total</c:v>
                </c:pt>
              </c:strCache>
            </c:strRef>
          </c:tx>
          <c:spPr>
            <a:solidFill>
              <a:schemeClr val="tx2">
                <a:lumMod val="50000"/>
              </a:schemeClr>
            </a:solidFill>
            <a:ln>
              <a:noFill/>
            </a:ln>
            <a:effectLst/>
          </c:spPr>
          <c:invertIfNegative val="0"/>
          <c:cat>
            <c:strRef>
              <c:f>'Pivot Table'!$AY$4:$AY$9</c:f>
              <c:strCache>
                <c:ptCount val="5"/>
                <c:pt idx="0">
                  <c:v>Ghana</c:v>
                </c:pt>
                <c:pt idx="1">
                  <c:v>Uganda</c:v>
                </c:pt>
                <c:pt idx="2">
                  <c:v>UK</c:v>
                </c:pt>
                <c:pt idx="3">
                  <c:v>USA</c:v>
                </c:pt>
                <c:pt idx="4">
                  <c:v>Zimbabwe</c:v>
                </c:pt>
              </c:strCache>
            </c:strRef>
          </c:cat>
          <c:val>
            <c:numRef>
              <c:f>'Pivot Table'!$AZ$4:$AZ$9</c:f>
              <c:numCache>
                <c:formatCode>[$$-540A]#,##0</c:formatCode>
                <c:ptCount val="5"/>
                <c:pt idx="0">
                  <c:v>12161</c:v>
                </c:pt>
                <c:pt idx="1">
                  <c:v>13616</c:v>
                </c:pt>
                <c:pt idx="2">
                  <c:v>15657</c:v>
                </c:pt>
                <c:pt idx="3">
                  <c:v>12806</c:v>
                </c:pt>
                <c:pt idx="4">
                  <c:v>13452</c:v>
                </c:pt>
              </c:numCache>
            </c:numRef>
          </c:val>
          <c:extLst>
            <c:ext xmlns:c16="http://schemas.microsoft.com/office/drawing/2014/chart" uri="{C3380CC4-5D6E-409C-BE32-E72D297353CC}">
              <c16:uniqueId val="{00000000-C9E8-45A3-89CF-A7CD73827D5A}"/>
            </c:ext>
          </c:extLst>
        </c:ser>
        <c:dLbls>
          <c:showLegendKey val="0"/>
          <c:showVal val="0"/>
          <c:showCatName val="0"/>
          <c:showSerName val="0"/>
          <c:showPercent val="0"/>
          <c:showBubbleSize val="0"/>
        </c:dLbls>
        <c:gapWidth val="219"/>
        <c:overlap val="-27"/>
        <c:axId val="921751920"/>
        <c:axId val="1721783552"/>
      </c:barChart>
      <c:catAx>
        <c:axId val="92175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21783552"/>
        <c:crosses val="autoZero"/>
        <c:auto val="1"/>
        <c:lblAlgn val="ctr"/>
        <c:lblOffset val="100"/>
        <c:noMultiLvlLbl val="0"/>
      </c:catAx>
      <c:valAx>
        <c:axId val="1721783552"/>
        <c:scaling>
          <c:orientation val="minMax"/>
        </c:scaling>
        <c:delete val="0"/>
        <c:axPos val="l"/>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92175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Table!PivotTable12</c:name>
    <c:fmtId val="12"/>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b="1"/>
              <a:t>Distribution</a:t>
            </a:r>
            <a:r>
              <a:rPr lang="en-US" sz="800" b="1" baseline="0"/>
              <a:t> Payment Method</a:t>
            </a:r>
            <a:endParaRPr lang="en-US" sz="800" b="1"/>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9938870544407758E-2"/>
              <c:y val="-1.95641833364459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620963508593684E-2"/>
              <c:y val="-1.59445875796687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0345948691897384E-2"/>
              <c:y val="4.01529557796415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2448564897129877E-2"/>
              <c:y val="-4.7014504178321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Table'!$BL$3</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D05-43E2-B655-D22E61A025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8D05-43E2-B655-D22E61A025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D05-43E2-B655-D22E61A025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8D05-43E2-B655-D22E61A025B7}"/>
              </c:ext>
            </c:extLst>
          </c:dPt>
          <c:dLbls>
            <c:dLbl>
              <c:idx val="0"/>
              <c:layout>
                <c:manualLayout>
                  <c:x val="3.0345948691897384E-2"/>
                  <c:y val="4.015295577964154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D05-43E2-B655-D22E61A025B7}"/>
                </c:ext>
              </c:extLst>
            </c:dLbl>
            <c:dLbl>
              <c:idx val="1"/>
              <c:layout>
                <c:manualLayout>
                  <c:x val="7.2448564897129877E-2"/>
                  <c:y val="-4.70145041783218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D05-43E2-B655-D22E61A025B7}"/>
                </c:ext>
              </c:extLst>
            </c:dLbl>
            <c:dLbl>
              <c:idx val="2"/>
              <c:layout>
                <c:manualLayout>
                  <c:x val="-4.9938870544407758E-2"/>
                  <c:y val="-1.956418333644596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D05-43E2-B655-D22E61A025B7}"/>
                </c:ext>
              </c:extLst>
            </c:dLbl>
            <c:dLbl>
              <c:idx val="3"/>
              <c:layout>
                <c:manualLayout>
                  <c:x val="-4.620963508593684E-2"/>
                  <c:y val="-1.594458757966876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05-43E2-B655-D22E61A025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Table'!$BK$4:$BK$8</c:f>
              <c:strCache>
                <c:ptCount val="4"/>
                <c:pt idx="0">
                  <c:v>Bank Transfer</c:v>
                </c:pt>
                <c:pt idx="1">
                  <c:v>Card</c:v>
                </c:pt>
                <c:pt idx="2">
                  <c:v>Cash</c:v>
                </c:pt>
                <c:pt idx="3">
                  <c:v>Mobile Money</c:v>
                </c:pt>
              </c:strCache>
            </c:strRef>
          </c:cat>
          <c:val>
            <c:numRef>
              <c:f>'Pivot Table'!$BL$4:$BL$8</c:f>
              <c:numCache>
                <c:formatCode>General</c:formatCode>
                <c:ptCount val="4"/>
                <c:pt idx="0">
                  <c:v>48</c:v>
                </c:pt>
                <c:pt idx="1">
                  <c:v>54</c:v>
                </c:pt>
                <c:pt idx="2">
                  <c:v>51</c:v>
                </c:pt>
                <c:pt idx="3">
                  <c:v>41</c:v>
                </c:pt>
              </c:numCache>
            </c:numRef>
          </c:val>
          <c:extLst>
            <c:ext xmlns:c16="http://schemas.microsoft.com/office/drawing/2014/chart" uri="{C3380CC4-5D6E-409C-BE32-E72D297353CC}">
              <c16:uniqueId val="{00000000-8D05-43E2-B655-D22E61A025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Table!PivotTable12</c:name>
    <c:fmtId val="17"/>
  </c:pivotSource>
  <c:chart>
    <c:title>
      <c:tx>
        <c:rich>
          <a:bodyPr rot="0" spcFirstLastPara="1" vertOverflow="ellipsis" vert="horz" wrap="square" anchor="ctr" anchorCtr="1"/>
          <a:lstStyle/>
          <a:p>
            <a:pPr>
              <a:defRPr sz="900" b="1" i="0" u="none" strike="noStrike" kern="1200" spc="0" baseline="0">
                <a:solidFill>
                  <a:schemeClr val="tx2">
                    <a:lumMod val="75000"/>
                  </a:schemeClr>
                </a:solidFill>
                <a:latin typeface="+mn-lt"/>
                <a:ea typeface="+mn-ea"/>
                <a:cs typeface="+mn-cs"/>
              </a:defRPr>
            </a:pPr>
            <a:r>
              <a:rPr lang="en-US" sz="900" b="1">
                <a:solidFill>
                  <a:schemeClr val="tx2">
                    <a:lumMod val="75000"/>
                  </a:schemeClr>
                </a:solidFill>
              </a:rPr>
              <a:t>Distribution</a:t>
            </a:r>
            <a:r>
              <a:rPr lang="en-US" sz="900" b="1" baseline="0">
                <a:solidFill>
                  <a:schemeClr val="tx2">
                    <a:lumMod val="75000"/>
                  </a:schemeClr>
                </a:solidFill>
              </a:rPr>
              <a:t> Payment Method</a:t>
            </a:r>
            <a:endParaRPr lang="en-US" sz="9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4.9938870544407758E-2"/>
              <c:y val="-1.95641833364459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4.620963508593684E-2"/>
              <c:y val="-1.59445875796687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0345948691897384E-2"/>
              <c:y val="4.01529557796415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7.2448564897129877E-2"/>
              <c:y val="-4.7014504178321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0345948691897384E-2"/>
              <c:y val="4.01529557796415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2448564897129877E-2"/>
              <c:y val="-4.7014504178321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9938870544407758E-2"/>
              <c:y val="-1.95641833364459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620963508593684E-2"/>
              <c:y val="-1.59445875796687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63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6350">
            <a:solidFill>
              <a:schemeClr val="lt1"/>
            </a:solidFill>
          </a:ln>
          <a:effectLst/>
        </c:spPr>
        <c:dLbl>
          <c:idx val="0"/>
          <c:layout>
            <c:manualLayout>
              <c:x val="3.0345948691897384E-2"/>
              <c:y val="4.0152955779641543E-3"/>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6350">
            <a:solidFill>
              <a:schemeClr val="lt1"/>
            </a:solidFill>
          </a:ln>
          <a:effectLst/>
        </c:spPr>
        <c:dLbl>
          <c:idx val="0"/>
          <c:layout>
            <c:manualLayout>
              <c:x val="7.2448564897129877E-2"/>
              <c:y val="-4.701450417832184E-3"/>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6350">
            <a:solidFill>
              <a:schemeClr val="lt1"/>
            </a:solidFill>
          </a:ln>
          <a:effectLst/>
        </c:spPr>
        <c:dLbl>
          <c:idx val="0"/>
          <c:layout>
            <c:manualLayout>
              <c:x val="-4.9938870544407758E-2"/>
              <c:y val="-1.9564183336445967E-2"/>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6350">
            <a:solidFill>
              <a:schemeClr val="lt1"/>
            </a:solidFill>
          </a:ln>
          <a:effectLst/>
        </c:spPr>
        <c:dLbl>
          <c:idx val="0"/>
          <c:layout>
            <c:manualLayout>
              <c:x val="-4.620963508593684E-2"/>
              <c:y val="-1.5944587579668767E-2"/>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Table'!$BL$3</c:f>
              <c:strCache>
                <c:ptCount val="1"/>
                <c:pt idx="0">
                  <c:v>Total</c:v>
                </c:pt>
              </c:strCache>
            </c:strRef>
          </c:tx>
          <c:spPr>
            <a:ln w="6350"/>
            <a:effectLst/>
          </c:spPr>
          <c:dPt>
            <c:idx val="0"/>
            <c:bubble3D val="0"/>
            <c:spPr>
              <a:solidFill>
                <a:schemeClr val="accent1"/>
              </a:solidFill>
              <a:ln w="6350">
                <a:solidFill>
                  <a:schemeClr val="lt1"/>
                </a:solidFill>
              </a:ln>
              <a:effectLst/>
            </c:spPr>
            <c:extLst>
              <c:ext xmlns:c16="http://schemas.microsoft.com/office/drawing/2014/chart" uri="{C3380CC4-5D6E-409C-BE32-E72D297353CC}">
                <c16:uniqueId val="{00000001-520C-40A5-8568-5EC4E87A68B5}"/>
              </c:ext>
            </c:extLst>
          </c:dPt>
          <c:dPt>
            <c:idx val="1"/>
            <c:bubble3D val="0"/>
            <c:spPr>
              <a:solidFill>
                <a:schemeClr val="accent2"/>
              </a:solidFill>
              <a:ln w="6350">
                <a:solidFill>
                  <a:schemeClr val="lt1"/>
                </a:solidFill>
              </a:ln>
              <a:effectLst/>
            </c:spPr>
            <c:extLst>
              <c:ext xmlns:c16="http://schemas.microsoft.com/office/drawing/2014/chart" uri="{C3380CC4-5D6E-409C-BE32-E72D297353CC}">
                <c16:uniqueId val="{00000003-520C-40A5-8568-5EC4E87A68B5}"/>
              </c:ext>
            </c:extLst>
          </c:dPt>
          <c:dPt>
            <c:idx val="2"/>
            <c:bubble3D val="0"/>
            <c:spPr>
              <a:solidFill>
                <a:schemeClr val="accent3"/>
              </a:solidFill>
              <a:ln w="6350">
                <a:solidFill>
                  <a:schemeClr val="lt1"/>
                </a:solidFill>
              </a:ln>
              <a:effectLst/>
            </c:spPr>
            <c:extLst>
              <c:ext xmlns:c16="http://schemas.microsoft.com/office/drawing/2014/chart" uri="{C3380CC4-5D6E-409C-BE32-E72D297353CC}">
                <c16:uniqueId val="{00000005-520C-40A5-8568-5EC4E87A68B5}"/>
              </c:ext>
            </c:extLst>
          </c:dPt>
          <c:dPt>
            <c:idx val="3"/>
            <c:bubble3D val="0"/>
            <c:spPr>
              <a:solidFill>
                <a:schemeClr val="accent4"/>
              </a:solidFill>
              <a:ln w="6350">
                <a:solidFill>
                  <a:schemeClr val="lt1"/>
                </a:solidFill>
              </a:ln>
              <a:effectLst/>
            </c:spPr>
            <c:extLst>
              <c:ext xmlns:c16="http://schemas.microsoft.com/office/drawing/2014/chart" uri="{C3380CC4-5D6E-409C-BE32-E72D297353CC}">
                <c16:uniqueId val="{00000007-520C-40A5-8568-5EC4E87A68B5}"/>
              </c:ext>
            </c:extLst>
          </c:dPt>
          <c:dLbls>
            <c:dLbl>
              <c:idx val="0"/>
              <c:layout>
                <c:manualLayout>
                  <c:x val="3.0345948691897384E-2"/>
                  <c:y val="4.015295577964154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0C-40A5-8568-5EC4E87A68B5}"/>
                </c:ext>
              </c:extLst>
            </c:dLbl>
            <c:dLbl>
              <c:idx val="1"/>
              <c:layout>
                <c:manualLayout>
                  <c:x val="7.2448564897129877E-2"/>
                  <c:y val="-4.70145041783218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0C-40A5-8568-5EC4E87A68B5}"/>
                </c:ext>
              </c:extLst>
            </c:dLbl>
            <c:dLbl>
              <c:idx val="2"/>
              <c:layout>
                <c:manualLayout>
                  <c:x val="-4.9938870544407758E-2"/>
                  <c:y val="-1.956418333644596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0C-40A5-8568-5EC4E87A68B5}"/>
                </c:ext>
              </c:extLst>
            </c:dLbl>
            <c:dLbl>
              <c:idx val="3"/>
              <c:layout>
                <c:manualLayout>
                  <c:x val="-4.620963508593684E-2"/>
                  <c:y val="-1.594458757966876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0C-40A5-8568-5EC4E87A68B5}"/>
                </c:ext>
              </c:extLst>
            </c:dLbl>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NA"/>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Table'!$BK$4:$BK$8</c:f>
              <c:strCache>
                <c:ptCount val="4"/>
                <c:pt idx="0">
                  <c:v>Bank Transfer</c:v>
                </c:pt>
                <c:pt idx="1">
                  <c:v>Card</c:v>
                </c:pt>
                <c:pt idx="2">
                  <c:v>Cash</c:v>
                </c:pt>
                <c:pt idx="3">
                  <c:v>Mobile Money</c:v>
                </c:pt>
              </c:strCache>
            </c:strRef>
          </c:cat>
          <c:val>
            <c:numRef>
              <c:f>'Pivot Table'!$BL$4:$BL$8</c:f>
              <c:numCache>
                <c:formatCode>General</c:formatCode>
                <c:ptCount val="4"/>
                <c:pt idx="0">
                  <c:v>48</c:v>
                </c:pt>
                <c:pt idx="1">
                  <c:v>54</c:v>
                </c:pt>
                <c:pt idx="2">
                  <c:v>51</c:v>
                </c:pt>
                <c:pt idx="3">
                  <c:v>41</c:v>
                </c:pt>
              </c:numCache>
            </c:numRef>
          </c:val>
          <c:extLst>
            <c:ext xmlns:c16="http://schemas.microsoft.com/office/drawing/2014/chart" uri="{C3380CC4-5D6E-409C-BE32-E72D297353CC}">
              <c16:uniqueId val="{00000008-520C-40A5-8568-5EC4E87A68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Table!PivotTable5</c:name>
    <c:fmtId val="13"/>
  </c:pivotSource>
  <c:chart>
    <c:title>
      <c:tx>
        <c:rich>
          <a:bodyPr rot="0" spcFirstLastPara="1" vertOverflow="ellipsis" vert="horz" wrap="square" anchor="ctr" anchorCtr="1"/>
          <a:lstStyle/>
          <a:p>
            <a:pPr>
              <a:defRPr sz="900" b="0" i="0" u="none" strike="noStrike" kern="1200" spc="0" baseline="0">
                <a:solidFill>
                  <a:schemeClr val="tx2">
                    <a:lumMod val="75000"/>
                  </a:schemeClr>
                </a:solidFill>
                <a:latin typeface="+mn-lt"/>
                <a:ea typeface="+mn-ea"/>
                <a:cs typeface="+mn-cs"/>
              </a:defRPr>
            </a:pPr>
            <a:r>
              <a:rPr lang="en-US" sz="900" b="1">
                <a:solidFill>
                  <a:schemeClr val="tx2">
                    <a:lumMod val="75000"/>
                  </a:schemeClr>
                </a:solidFill>
              </a:rPr>
              <a:t>Proportion of Revenue by Category</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2">
                  <a:lumMod val="75000"/>
                </a:schemeClr>
              </a:solidFill>
              <a:latin typeface="+mn-lt"/>
              <a:ea typeface="+mn-ea"/>
              <a:cs typeface="+mn-cs"/>
            </a:defRPr>
          </a:pPr>
          <a:endParaRPr lang="en-N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tx2">
              <a:lumMod val="75000"/>
            </a:schemeClr>
          </a:solidFill>
          <a:ln w="19050">
            <a:solidFill>
              <a:schemeClr val="lt1"/>
            </a:solidFill>
          </a:ln>
          <a:effectLst/>
        </c:spPr>
        <c:dLbl>
          <c:idx val="0"/>
          <c:layout>
            <c:manualLayout>
              <c:x val="0.14252873563218382"/>
              <c:y val="-7.8688551676279569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0.20689655172413793"/>
              <c:y val="-5.245903445085304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00B050"/>
          </a:solidFill>
          <a:ln w="19050">
            <a:solidFill>
              <a:schemeClr val="lt1"/>
            </a:solidFill>
          </a:ln>
          <a:effectLst/>
        </c:spPr>
        <c:dLbl>
          <c:idx val="0"/>
          <c:layout>
            <c:manualLayout>
              <c:x val="-0.15172413793103448"/>
              <c:y val="0.2098361378034120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c:spPr>
        <c:dLbl>
          <c:idx val="0"/>
          <c:layout>
            <c:manualLayout>
              <c:x val="0.22068965517241371"/>
              <c:y val="6.120220685932855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tx2">
              <a:lumMod val="75000"/>
            </a:schemeClr>
          </a:solidFill>
          <a:ln w="19050">
            <a:solidFill>
              <a:schemeClr val="lt1"/>
            </a:solidFill>
          </a:ln>
          <a:effectLst/>
        </c:spPr>
        <c:dLbl>
          <c:idx val="0"/>
          <c:layout>
            <c:manualLayout>
              <c:x val="0.14252873563218382"/>
              <c:y val="-7.8688551676279569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0.22068965517241371"/>
              <c:y val="6.120220685932855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dLbl>
          <c:idx val="0"/>
          <c:layout>
            <c:manualLayout>
              <c:x val="-0.15172413793103448"/>
              <c:y val="0.2098361378034120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dLbl>
          <c:idx val="0"/>
          <c:layout>
            <c:manualLayout>
              <c:x val="-0.20689655172413793"/>
              <c:y val="-5.245903445085304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tx2">
              <a:lumMod val="75000"/>
            </a:schemeClr>
          </a:solidFill>
          <a:ln w="19050">
            <a:solidFill>
              <a:schemeClr val="lt1"/>
            </a:solidFill>
          </a:ln>
          <a:effectLst/>
        </c:spPr>
        <c:dLbl>
          <c:idx val="0"/>
          <c:layout>
            <c:manualLayout>
              <c:x val="0.14252873563218382"/>
              <c:y val="-7.86885516762795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C00000"/>
          </a:solidFill>
          <a:ln w="19050">
            <a:solidFill>
              <a:schemeClr val="lt1"/>
            </a:solidFill>
          </a:ln>
          <a:effectLst/>
        </c:spPr>
        <c:dLbl>
          <c:idx val="0"/>
          <c:layout>
            <c:manualLayout>
              <c:x val="0.22068965517241371"/>
              <c:y val="6.12022068593285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rgbClr val="00B050"/>
          </a:solidFill>
          <a:ln w="19050">
            <a:solidFill>
              <a:schemeClr val="lt1"/>
            </a:solidFill>
          </a:ln>
          <a:effectLst/>
        </c:spPr>
        <c:dLbl>
          <c:idx val="0"/>
          <c:layout>
            <c:manualLayout>
              <c:x val="-0.20537089635518138"/>
              <c:y val="4.697878201398695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6">
              <a:lumMod val="75000"/>
            </a:schemeClr>
          </a:solidFill>
          <a:ln w="19050">
            <a:solidFill>
              <a:schemeClr val="lt1"/>
            </a:solidFill>
          </a:ln>
          <a:effectLst/>
        </c:spPr>
        <c:dLbl>
          <c:idx val="0"/>
          <c:layout>
            <c:manualLayout>
              <c:x val="-0.20689655172413793"/>
              <c:y val="-5.245903445085304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Table'!$Y$2</c:f>
              <c:strCache>
                <c:ptCount val="1"/>
                <c:pt idx="0">
                  <c:v>Total</c:v>
                </c:pt>
              </c:strCache>
            </c:strRef>
          </c:tx>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F417-4EA6-831A-89271903D3EE}"/>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F417-4EA6-831A-89271903D3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17-4EA6-831A-89271903D3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17-4EA6-831A-89271903D3EE}"/>
              </c:ext>
            </c:extLst>
          </c:dPt>
          <c:dLbls>
            <c:dLbl>
              <c:idx val="0"/>
              <c:layout>
                <c:manualLayout>
                  <c:x val="0.14252873563218382"/>
                  <c:y val="-7.868855167627956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417-4EA6-831A-89271903D3EE}"/>
                </c:ext>
              </c:extLst>
            </c:dLbl>
            <c:dLbl>
              <c:idx val="1"/>
              <c:layout>
                <c:manualLayout>
                  <c:x val="-0.20537089635518138"/>
                  <c:y val="4.697878201398695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17-4EA6-831A-89271903D3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A"/>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Table'!$X$3:$X$5</c:f>
              <c:strCache>
                <c:ptCount val="2"/>
                <c:pt idx="0">
                  <c:v>Casual</c:v>
                </c:pt>
                <c:pt idx="1">
                  <c:v>Open</c:v>
                </c:pt>
              </c:strCache>
            </c:strRef>
          </c:cat>
          <c:val>
            <c:numRef>
              <c:f>'Pivot Table'!$Y$3:$Y$5</c:f>
              <c:numCache>
                <c:formatCode>"$"#,##0;[Red]"$"#,##0</c:formatCode>
                <c:ptCount val="2"/>
                <c:pt idx="0">
                  <c:v>82917</c:v>
                </c:pt>
                <c:pt idx="1">
                  <c:v>53035</c:v>
                </c:pt>
              </c:numCache>
            </c:numRef>
          </c:val>
          <c:extLst>
            <c:ext xmlns:c16="http://schemas.microsoft.com/office/drawing/2014/chart" uri="{C3380CC4-5D6E-409C-BE32-E72D297353CC}">
              <c16:uniqueId val="{00000008-F417-4EA6-831A-89271903D3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Table!PivotTable9</c:name>
    <c:fmtId val="21"/>
  </c:pivotSource>
  <c:chart>
    <c:title>
      <c:tx>
        <c:rich>
          <a:bodyPr rot="0" spcFirstLastPara="1" vertOverflow="ellipsis" vert="horz" wrap="square" anchor="ctr" anchorCtr="1"/>
          <a:lstStyle/>
          <a:p>
            <a:pPr>
              <a:defRPr sz="900" b="1" i="0" u="none" strike="noStrike" kern="1200" spc="0" baseline="0">
                <a:solidFill>
                  <a:schemeClr val="tx2">
                    <a:lumMod val="75000"/>
                  </a:schemeClr>
                </a:solidFill>
                <a:latin typeface="+mn-lt"/>
                <a:ea typeface="+mn-ea"/>
                <a:cs typeface="+mn-cs"/>
              </a:defRPr>
            </a:pPr>
            <a:r>
              <a:rPr lang="en-US" sz="900" b="1">
                <a:solidFill>
                  <a:schemeClr val="tx2">
                    <a:lumMod val="75000"/>
                  </a:schemeClr>
                </a:solidFill>
              </a:rPr>
              <a:t>Revenue</a:t>
            </a:r>
            <a:r>
              <a:rPr lang="en-US" sz="900" b="1" baseline="0">
                <a:solidFill>
                  <a:schemeClr val="tx2">
                    <a:lumMod val="75000"/>
                  </a:schemeClr>
                </a:solidFill>
              </a:rPr>
              <a:t> and Profit Generated by Country</a:t>
            </a:r>
            <a:endParaRPr lang="en-US" sz="9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9154613951157"/>
          <c:y val="0.15049440185132665"/>
          <c:w val="0.76433819457387708"/>
          <c:h val="0.39458573897439903"/>
        </c:manualLayout>
      </c:layout>
      <c:barChart>
        <c:barDir val="col"/>
        <c:grouping val="clustered"/>
        <c:varyColors val="0"/>
        <c:ser>
          <c:idx val="0"/>
          <c:order val="0"/>
          <c:tx>
            <c:strRef>
              <c:f>'Pivot Table'!$AO$2</c:f>
              <c:strCache>
                <c:ptCount val="1"/>
                <c:pt idx="0">
                  <c:v>Total Profit</c:v>
                </c:pt>
              </c:strCache>
            </c:strRef>
          </c:tx>
          <c:spPr>
            <a:solidFill>
              <a:srgbClr val="C00000"/>
            </a:solidFill>
            <a:ln>
              <a:noFill/>
            </a:ln>
            <a:effectLst/>
          </c:spPr>
          <c:invertIfNegative val="0"/>
          <c:cat>
            <c:strRef>
              <c:f>'Pivot Table'!$AN$3:$AN$17</c:f>
              <c:strCache>
                <c:ptCount val="14"/>
                <c:pt idx="0">
                  <c:v>Albania</c:v>
                </c:pt>
                <c:pt idx="1">
                  <c:v>Australia</c:v>
                </c:pt>
                <c:pt idx="2">
                  <c:v>Canada</c:v>
                </c:pt>
                <c:pt idx="3">
                  <c:v>Cyprus</c:v>
                </c:pt>
                <c:pt idx="4">
                  <c:v>Germany</c:v>
                </c:pt>
                <c:pt idx="5">
                  <c:v>Ghana</c:v>
                </c:pt>
                <c:pt idx="6">
                  <c:v>India</c:v>
                </c:pt>
                <c:pt idx="7">
                  <c:v>Kenya</c:v>
                </c:pt>
                <c:pt idx="8">
                  <c:v>Nigeria</c:v>
                </c:pt>
                <c:pt idx="9">
                  <c:v>Philippines</c:v>
                </c:pt>
                <c:pt idx="10">
                  <c:v>Uganda</c:v>
                </c:pt>
                <c:pt idx="11">
                  <c:v>UK</c:v>
                </c:pt>
                <c:pt idx="12">
                  <c:v>USA</c:v>
                </c:pt>
                <c:pt idx="13">
                  <c:v>Zimbabwe</c:v>
                </c:pt>
              </c:strCache>
            </c:strRef>
          </c:cat>
          <c:val>
            <c:numRef>
              <c:f>'Pivot Table'!$AO$3:$AO$17</c:f>
              <c:numCache>
                <c:formatCode>[$$-540A]#,##0</c:formatCode>
                <c:ptCount val="14"/>
                <c:pt idx="0">
                  <c:v>2600</c:v>
                </c:pt>
                <c:pt idx="1">
                  <c:v>2204</c:v>
                </c:pt>
                <c:pt idx="2">
                  <c:v>3426</c:v>
                </c:pt>
                <c:pt idx="3">
                  <c:v>3759</c:v>
                </c:pt>
                <c:pt idx="4">
                  <c:v>2330</c:v>
                </c:pt>
                <c:pt idx="5">
                  <c:v>5500</c:v>
                </c:pt>
                <c:pt idx="6">
                  <c:v>5427</c:v>
                </c:pt>
                <c:pt idx="7">
                  <c:v>2922</c:v>
                </c:pt>
                <c:pt idx="8">
                  <c:v>3436</c:v>
                </c:pt>
                <c:pt idx="9">
                  <c:v>4940</c:v>
                </c:pt>
                <c:pt idx="10">
                  <c:v>6148</c:v>
                </c:pt>
                <c:pt idx="11">
                  <c:v>7261</c:v>
                </c:pt>
                <c:pt idx="12">
                  <c:v>5831</c:v>
                </c:pt>
                <c:pt idx="13">
                  <c:v>6141</c:v>
                </c:pt>
              </c:numCache>
            </c:numRef>
          </c:val>
          <c:extLst>
            <c:ext xmlns:c16="http://schemas.microsoft.com/office/drawing/2014/chart" uri="{C3380CC4-5D6E-409C-BE32-E72D297353CC}">
              <c16:uniqueId val="{00000000-DC80-423E-BC8B-84E723B420D0}"/>
            </c:ext>
          </c:extLst>
        </c:ser>
        <c:ser>
          <c:idx val="1"/>
          <c:order val="1"/>
          <c:tx>
            <c:strRef>
              <c:f>'Pivot Table'!$AP$2</c:f>
              <c:strCache>
                <c:ptCount val="1"/>
                <c:pt idx="0">
                  <c:v>Total Revenue</c:v>
                </c:pt>
              </c:strCache>
            </c:strRef>
          </c:tx>
          <c:spPr>
            <a:solidFill>
              <a:schemeClr val="tx2">
                <a:lumMod val="50000"/>
              </a:schemeClr>
            </a:solidFill>
            <a:ln>
              <a:noFill/>
            </a:ln>
            <a:effectLst/>
          </c:spPr>
          <c:invertIfNegative val="0"/>
          <c:cat>
            <c:strRef>
              <c:f>'Pivot Table'!$AN$3:$AN$17</c:f>
              <c:strCache>
                <c:ptCount val="14"/>
                <c:pt idx="0">
                  <c:v>Albania</c:v>
                </c:pt>
                <c:pt idx="1">
                  <c:v>Australia</c:v>
                </c:pt>
                <c:pt idx="2">
                  <c:v>Canada</c:v>
                </c:pt>
                <c:pt idx="3">
                  <c:v>Cyprus</c:v>
                </c:pt>
                <c:pt idx="4">
                  <c:v>Germany</c:v>
                </c:pt>
                <c:pt idx="5">
                  <c:v>Ghana</c:v>
                </c:pt>
                <c:pt idx="6">
                  <c:v>India</c:v>
                </c:pt>
                <c:pt idx="7">
                  <c:v>Kenya</c:v>
                </c:pt>
                <c:pt idx="8">
                  <c:v>Nigeria</c:v>
                </c:pt>
                <c:pt idx="9">
                  <c:v>Philippines</c:v>
                </c:pt>
                <c:pt idx="10">
                  <c:v>Uganda</c:v>
                </c:pt>
                <c:pt idx="11">
                  <c:v>UK</c:v>
                </c:pt>
                <c:pt idx="12">
                  <c:v>USA</c:v>
                </c:pt>
                <c:pt idx="13">
                  <c:v>Zimbabwe</c:v>
                </c:pt>
              </c:strCache>
            </c:strRef>
          </c:cat>
          <c:val>
            <c:numRef>
              <c:f>'Pivot Table'!$AP$3:$AP$17</c:f>
              <c:numCache>
                <c:formatCode>[$$-540A]#,##0</c:formatCode>
                <c:ptCount val="14"/>
                <c:pt idx="0">
                  <c:v>5699</c:v>
                </c:pt>
                <c:pt idx="1">
                  <c:v>4942</c:v>
                </c:pt>
                <c:pt idx="2">
                  <c:v>7609</c:v>
                </c:pt>
                <c:pt idx="3">
                  <c:v>8230</c:v>
                </c:pt>
                <c:pt idx="4">
                  <c:v>5248</c:v>
                </c:pt>
                <c:pt idx="5">
                  <c:v>12161</c:v>
                </c:pt>
                <c:pt idx="6">
                  <c:v>11802</c:v>
                </c:pt>
                <c:pt idx="7">
                  <c:v>6370</c:v>
                </c:pt>
                <c:pt idx="8">
                  <c:v>7345</c:v>
                </c:pt>
                <c:pt idx="9">
                  <c:v>11015</c:v>
                </c:pt>
                <c:pt idx="10">
                  <c:v>13616</c:v>
                </c:pt>
                <c:pt idx="11">
                  <c:v>15657</c:v>
                </c:pt>
                <c:pt idx="12">
                  <c:v>12806</c:v>
                </c:pt>
                <c:pt idx="13">
                  <c:v>13452</c:v>
                </c:pt>
              </c:numCache>
            </c:numRef>
          </c:val>
          <c:extLst>
            <c:ext xmlns:c16="http://schemas.microsoft.com/office/drawing/2014/chart" uri="{C3380CC4-5D6E-409C-BE32-E72D297353CC}">
              <c16:uniqueId val="{00000001-DC80-423E-BC8B-84E723B420D0}"/>
            </c:ext>
          </c:extLst>
        </c:ser>
        <c:dLbls>
          <c:showLegendKey val="0"/>
          <c:showVal val="0"/>
          <c:showCatName val="0"/>
          <c:showSerName val="0"/>
          <c:showPercent val="0"/>
          <c:showBubbleSize val="0"/>
        </c:dLbls>
        <c:gapWidth val="100"/>
        <c:overlap val="27"/>
        <c:axId val="1818565200"/>
        <c:axId val="1721782592"/>
      </c:barChart>
      <c:catAx>
        <c:axId val="181856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21782592"/>
        <c:crosses val="autoZero"/>
        <c:auto val="1"/>
        <c:lblAlgn val="ctr"/>
        <c:lblOffset val="100"/>
        <c:noMultiLvlLbl val="0"/>
      </c:catAx>
      <c:valAx>
        <c:axId val="1721782592"/>
        <c:scaling>
          <c:orientation val="minMax"/>
        </c:scaling>
        <c:delete val="0"/>
        <c:axPos val="l"/>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81856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N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Table!PivotTable4</c:name>
    <c:fmtId val="10"/>
  </c:pivotSource>
  <c:chart>
    <c:title>
      <c:tx>
        <c:rich>
          <a:bodyPr rot="0" spcFirstLastPara="1" vertOverflow="ellipsis" vert="horz" wrap="square" anchor="ctr" anchorCtr="1"/>
          <a:lstStyle/>
          <a:p>
            <a:pPr>
              <a:defRPr sz="900" b="0" i="0" u="none" strike="noStrike" kern="1200" spc="0" baseline="0">
                <a:solidFill>
                  <a:schemeClr val="tx2">
                    <a:lumMod val="75000"/>
                  </a:schemeClr>
                </a:solidFill>
                <a:latin typeface="+mn-lt"/>
                <a:ea typeface="+mn-ea"/>
                <a:cs typeface="+mn-cs"/>
              </a:defRPr>
            </a:pPr>
            <a:r>
              <a:rPr lang="en-US" sz="900" b="1">
                <a:solidFill>
                  <a:schemeClr val="tx2">
                    <a:lumMod val="75000"/>
                  </a:schemeClr>
                </a:solidFill>
              </a:rPr>
              <a:t>Revenue Generated by Product</a:t>
            </a:r>
          </a:p>
        </c:rich>
      </c:tx>
      <c:layout>
        <c:manualLayout>
          <c:xMode val="edge"/>
          <c:yMode val="edge"/>
          <c:x val="0.16050100773167059"/>
          <c:y val="0"/>
        </c:manualLayout>
      </c:layout>
      <c:overlay val="0"/>
      <c:spPr>
        <a:noFill/>
        <a:ln>
          <a:noFill/>
        </a:ln>
        <a:effectLst/>
      </c:sp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5400000" spcFirstLastPara="1" vertOverflow="ellipsis" vert="horz" wrap="square" lIns="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'Pivot Table'!$O$2</c:f>
              <c:strCache>
                <c:ptCount val="1"/>
                <c:pt idx="0">
                  <c:v>Total</c:v>
                </c:pt>
              </c:strCache>
            </c:strRef>
          </c:tx>
          <c:spPr>
            <a:solidFill>
              <a:schemeClr val="tx2">
                <a:lumMod val="75000"/>
              </a:schemeClr>
            </a:solidFill>
            <a:ln>
              <a:noFill/>
            </a:ln>
            <a:effectLst/>
          </c:spPr>
          <c:invertIfNegative val="0"/>
          <c:dLbls>
            <c:spPr>
              <a:noFill/>
              <a:ln>
                <a:noFill/>
              </a:ln>
              <a:effectLst/>
            </c:spPr>
            <c:txPr>
              <a:bodyPr rot="-5400000" spcFirstLastPara="1" vertOverflow="ellipsis" vert="horz" wrap="square" lIns="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Table'!$N$3:$N$11</c:f>
              <c:strCache>
                <c:ptCount val="8"/>
                <c:pt idx="0">
                  <c:v>Boots</c:v>
                </c:pt>
                <c:pt idx="1">
                  <c:v>Brogues</c:v>
                </c:pt>
                <c:pt idx="2">
                  <c:v>Canvas</c:v>
                </c:pt>
                <c:pt idx="3">
                  <c:v>Derby</c:v>
                </c:pt>
                <c:pt idx="4">
                  <c:v>Loafers</c:v>
                </c:pt>
                <c:pt idx="5">
                  <c:v>Monk Straps</c:v>
                </c:pt>
                <c:pt idx="6">
                  <c:v>Oxford</c:v>
                </c:pt>
                <c:pt idx="7">
                  <c:v>Slippers</c:v>
                </c:pt>
              </c:strCache>
            </c:strRef>
          </c:cat>
          <c:val>
            <c:numRef>
              <c:f>'Pivot Table'!$O$3:$O$11</c:f>
              <c:numCache>
                <c:formatCode>"$"#,##0;[Red]"$"#,##0</c:formatCode>
                <c:ptCount val="8"/>
                <c:pt idx="0">
                  <c:v>15352</c:v>
                </c:pt>
                <c:pt idx="1">
                  <c:v>23968</c:v>
                </c:pt>
                <c:pt idx="2">
                  <c:v>28160</c:v>
                </c:pt>
                <c:pt idx="3">
                  <c:v>6528</c:v>
                </c:pt>
                <c:pt idx="4">
                  <c:v>7344</c:v>
                </c:pt>
                <c:pt idx="5">
                  <c:v>16821</c:v>
                </c:pt>
                <c:pt idx="6">
                  <c:v>19215</c:v>
                </c:pt>
                <c:pt idx="7">
                  <c:v>18564</c:v>
                </c:pt>
              </c:numCache>
            </c:numRef>
          </c:val>
          <c:extLst>
            <c:ext xmlns:c16="http://schemas.microsoft.com/office/drawing/2014/chart" uri="{C3380CC4-5D6E-409C-BE32-E72D297353CC}">
              <c16:uniqueId val="{00000000-9EC4-41A6-A10F-8C93CCBFAB60}"/>
            </c:ext>
          </c:extLst>
        </c:ser>
        <c:dLbls>
          <c:dLblPos val="outEnd"/>
          <c:showLegendKey val="0"/>
          <c:showVal val="1"/>
          <c:showCatName val="0"/>
          <c:showSerName val="0"/>
          <c:showPercent val="0"/>
          <c:showBubbleSize val="0"/>
        </c:dLbls>
        <c:gapWidth val="150"/>
        <c:overlap val="-27"/>
        <c:axId val="1818563344"/>
        <c:axId val="1768646720"/>
      </c:barChart>
      <c:catAx>
        <c:axId val="181856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68646720"/>
        <c:crosses val="autoZero"/>
        <c:auto val="1"/>
        <c:lblAlgn val="ctr"/>
        <c:lblOffset val="100"/>
        <c:noMultiLvlLbl val="0"/>
      </c:catAx>
      <c:valAx>
        <c:axId val="1768646720"/>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81856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Table!PivotTable3</c:name>
    <c:fmtId val="7"/>
  </c:pivotSource>
  <c:chart>
    <c:title>
      <c:tx>
        <c:rich>
          <a:bodyPr rot="0" spcFirstLastPara="1" vertOverflow="ellipsis" vert="horz" wrap="square" anchor="ctr" anchorCtr="1"/>
          <a:lstStyle/>
          <a:p>
            <a:pPr>
              <a:defRPr sz="900" b="0" i="0" u="none" strike="noStrike" kern="1200" spc="0" baseline="0">
                <a:solidFill>
                  <a:schemeClr val="tx2">
                    <a:lumMod val="75000"/>
                  </a:schemeClr>
                </a:solidFill>
                <a:latin typeface="+mn-lt"/>
                <a:ea typeface="+mn-ea"/>
                <a:cs typeface="+mn-cs"/>
              </a:defRPr>
            </a:pPr>
            <a:r>
              <a:rPr lang="en-US" sz="900" b="1">
                <a:solidFill>
                  <a:schemeClr val="tx2">
                    <a:lumMod val="75000"/>
                  </a:schemeClr>
                </a:solidFill>
              </a:rPr>
              <a:t>Revenue Generated by Month</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2">
                  <a:lumMod val="75000"/>
                </a:schemeClr>
              </a:solidFill>
              <a:latin typeface="+mn-lt"/>
              <a:ea typeface="+mn-ea"/>
              <a:cs typeface="+mn-cs"/>
            </a:defRPr>
          </a:pPr>
          <a:endParaRPr lang="en-NA"/>
        </a:p>
      </c:txPr>
    </c:title>
    <c:autoTitleDeleted val="0"/>
    <c:pivotFmts>
      <c:pivotFmt>
        <c:idx val="0"/>
        <c:spPr>
          <a:solidFill>
            <a:schemeClr val="accent2"/>
          </a:solidFill>
          <a:ln w="15875" cap="rnd">
            <a:solidFill>
              <a:schemeClr val="accent2"/>
            </a:solidFill>
            <a:round/>
          </a:ln>
          <a:effectLst/>
        </c:spPr>
        <c:marker>
          <c:symbol val="diamond"/>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5875" cap="rnd">
            <a:solidFill>
              <a:schemeClr val="accent2"/>
            </a:solidFill>
            <a:round/>
          </a:ln>
          <a:effectLst/>
        </c:spPr>
        <c:marker>
          <c:symbol val="diamond"/>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2"/>
            </a:solidFill>
            <a:round/>
          </a:ln>
          <a:effectLst/>
        </c:spPr>
        <c:marker>
          <c:symbol val="diamond"/>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Table'!$J$2</c:f>
              <c:strCache>
                <c:ptCount val="1"/>
                <c:pt idx="0">
                  <c:v>Total</c:v>
                </c:pt>
              </c:strCache>
            </c:strRef>
          </c:tx>
          <c:spPr>
            <a:ln w="15875" cap="rnd">
              <a:solidFill>
                <a:schemeClr val="accent2"/>
              </a:solidFill>
              <a:round/>
            </a:ln>
            <a:effectLst/>
          </c:spPr>
          <c:marker>
            <c:symbol val="diamond"/>
            <c:size val="5"/>
            <c:spPr>
              <a:solidFill>
                <a:schemeClr val="accent2"/>
              </a:solidFill>
              <a:ln w="9525">
                <a:solidFill>
                  <a:schemeClr val="accent2"/>
                </a:solidFill>
              </a:ln>
              <a:effectLst/>
            </c:spPr>
          </c:marker>
          <c:cat>
            <c:strRef>
              <c:f>'Pivot Table'!$I$3:$I$11</c:f>
              <c:strCache>
                <c:ptCount val="8"/>
                <c:pt idx="0">
                  <c:v>Jan</c:v>
                </c:pt>
                <c:pt idx="1">
                  <c:v>Feb</c:v>
                </c:pt>
                <c:pt idx="2">
                  <c:v>Mar</c:v>
                </c:pt>
                <c:pt idx="3">
                  <c:v>Apr</c:v>
                </c:pt>
                <c:pt idx="4">
                  <c:v>May</c:v>
                </c:pt>
                <c:pt idx="5">
                  <c:v>Jun</c:v>
                </c:pt>
                <c:pt idx="6">
                  <c:v>Jul</c:v>
                </c:pt>
                <c:pt idx="7">
                  <c:v>Aug</c:v>
                </c:pt>
              </c:strCache>
            </c:strRef>
          </c:cat>
          <c:val>
            <c:numRef>
              <c:f>'Pivot Table'!$J$3:$J$11</c:f>
              <c:numCache>
                <c:formatCode>"$"#,##0;[Red]"$"#,##0</c:formatCode>
                <c:ptCount val="8"/>
                <c:pt idx="0">
                  <c:v>15969</c:v>
                </c:pt>
                <c:pt idx="1">
                  <c:v>15129</c:v>
                </c:pt>
                <c:pt idx="2">
                  <c:v>19014</c:v>
                </c:pt>
                <c:pt idx="3">
                  <c:v>16132</c:v>
                </c:pt>
                <c:pt idx="4">
                  <c:v>15486</c:v>
                </c:pt>
                <c:pt idx="5">
                  <c:v>28993</c:v>
                </c:pt>
                <c:pt idx="6">
                  <c:v>17765</c:v>
                </c:pt>
                <c:pt idx="7">
                  <c:v>7464</c:v>
                </c:pt>
              </c:numCache>
            </c:numRef>
          </c:val>
          <c:smooth val="1"/>
          <c:extLst>
            <c:ext xmlns:c16="http://schemas.microsoft.com/office/drawing/2014/chart" uri="{C3380CC4-5D6E-409C-BE32-E72D297353CC}">
              <c16:uniqueId val="{00000000-EC59-4EB1-BD1E-D16276ADAE4C}"/>
            </c:ext>
          </c:extLst>
        </c:ser>
        <c:dLbls>
          <c:showLegendKey val="0"/>
          <c:showVal val="0"/>
          <c:showCatName val="0"/>
          <c:showSerName val="0"/>
          <c:showPercent val="0"/>
          <c:showBubbleSize val="0"/>
        </c:dLbls>
        <c:marker val="1"/>
        <c:smooth val="0"/>
        <c:axId val="1818562416"/>
        <c:axId val="1768652480"/>
      </c:lineChart>
      <c:catAx>
        <c:axId val="18185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68652480"/>
        <c:crosses val="autoZero"/>
        <c:auto val="1"/>
        <c:lblAlgn val="ctr"/>
        <c:lblOffset val="100"/>
        <c:noMultiLvlLbl val="0"/>
      </c:catAx>
      <c:valAx>
        <c:axId val="1768652480"/>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81856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Maison_Complete project.xlsx]Pivot Table!PivotTable6</c:name>
    <c:fmtId val="16"/>
  </c:pivotSource>
  <c:chart>
    <c:title>
      <c:tx>
        <c:rich>
          <a:bodyPr rot="0" spcFirstLastPara="1" vertOverflow="ellipsis" vert="horz" wrap="square" anchor="ctr" anchorCtr="1"/>
          <a:lstStyle/>
          <a:p>
            <a:pPr>
              <a:defRPr sz="900" b="0" i="0" u="none" strike="noStrike" kern="1200" spc="0" baseline="0">
                <a:solidFill>
                  <a:schemeClr val="tx2">
                    <a:lumMod val="75000"/>
                  </a:schemeClr>
                </a:solidFill>
                <a:latin typeface="+mn-lt"/>
                <a:ea typeface="+mn-ea"/>
                <a:cs typeface="+mn-cs"/>
              </a:defRPr>
            </a:pPr>
            <a:r>
              <a:rPr lang="en-US" sz="900" b="1">
                <a:solidFill>
                  <a:schemeClr val="tx2">
                    <a:lumMod val="75000"/>
                  </a:schemeClr>
                </a:solidFill>
              </a:rPr>
              <a:t>Revenue Generated by Brand</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2">
                  <a:lumMod val="75000"/>
                </a:schemeClr>
              </a:solidFill>
              <a:latin typeface="+mn-lt"/>
              <a:ea typeface="+mn-ea"/>
              <a:cs typeface="+mn-cs"/>
            </a:defRPr>
          </a:pPr>
          <a:endParaRPr lang="en-N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Table'!$AG$2</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Table'!$AF$3:$AF$8</c:f>
              <c:strCache>
                <c:ptCount val="5"/>
                <c:pt idx="0">
                  <c:v>Clarks</c:v>
                </c:pt>
                <c:pt idx="1">
                  <c:v>Nike</c:v>
                </c:pt>
                <c:pt idx="2">
                  <c:v>Steve Madden</c:v>
                </c:pt>
                <c:pt idx="3">
                  <c:v>Timberland</c:v>
                </c:pt>
                <c:pt idx="4">
                  <c:v>Zara</c:v>
                </c:pt>
              </c:strCache>
            </c:strRef>
          </c:cat>
          <c:val>
            <c:numRef>
              <c:f>'Pivot Table'!$AG$3:$AG$8</c:f>
              <c:numCache>
                <c:formatCode>"$"#,##0;[Red]"$"#,##0</c:formatCode>
                <c:ptCount val="5"/>
                <c:pt idx="0">
                  <c:v>49122</c:v>
                </c:pt>
                <c:pt idx="1">
                  <c:v>21242</c:v>
                </c:pt>
                <c:pt idx="2">
                  <c:v>14062</c:v>
                </c:pt>
                <c:pt idx="3">
                  <c:v>19559</c:v>
                </c:pt>
                <c:pt idx="4">
                  <c:v>31967</c:v>
                </c:pt>
              </c:numCache>
            </c:numRef>
          </c:val>
          <c:extLst>
            <c:ext xmlns:c16="http://schemas.microsoft.com/office/drawing/2014/chart" uri="{C3380CC4-5D6E-409C-BE32-E72D297353CC}">
              <c16:uniqueId val="{00000000-B7BB-4068-8F0A-A3DC1F946303}"/>
            </c:ext>
          </c:extLst>
        </c:ser>
        <c:dLbls>
          <c:dLblPos val="outEnd"/>
          <c:showLegendKey val="0"/>
          <c:showVal val="1"/>
          <c:showCatName val="0"/>
          <c:showSerName val="0"/>
          <c:showPercent val="0"/>
          <c:showBubbleSize val="0"/>
        </c:dLbls>
        <c:gapWidth val="182"/>
        <c:axId val="697166192"/>
        <c:axId val="1721772032"/>
      </c:barChart>
      <c:catAx>
        <c:axId val="69716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1721772032"/>
        <c:crosses val="autoZero"/>
        <c:auto val="1"/>
        <c:lblAlgn val="ctr"/>
        <c:lblOffset val="100"/>
        <c:noMultiLvlLbl val="0"/>
      </c:catAx>
      <c:valAx>
        <c:axId val="1721772032"/>
        <c:scaling>
          <c:orientation val="minMax"/>
        </c:scaling>
        <c:delete val="0"/>
        <c:axPos val="b"/>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A"/>
          </a:p>
        </c:txPr>
        <c:crossAx val="69716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28576</xdr:colOff>
      <xdr:row>11</xdr:row>
      <xdr:rowOff>114300</xdr:rowOff>
    </xdr:from>
    <xdr:to>
      <xdr:col>10</xdr:col>
      <xdr:colOff>695325</xdr:colOff>
      <xdr:row>21</xdr:row>
      <xdr:rowOff>19050</xdr:rowOff>
    </xdr:to>
    <xdr:graphicFrame macro="">
      <xdr:nvGraphicFramePr>
        <xdr:cNvPr id="2" name="Chart 1">
          <a:extLst>
            <a:ext uri="{FF2B5EF4-FFF2-40B4-BE49-F238E27FC236}">
              <a16:creationId xmlns:a16="http://schemas.microsoft.com/office/drawing/2014/main" id="{48E9CD02-F025-02D7-BB2E-6A1D313DB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133350</xdr:colOff>
      <xdr:row>1</xdr:row>
      <xdr:rowOff>0</xdr:rowOff>
    </xdr:from>
    <xdr:to>
      <xdr:col>21</xdr:col>
      <xdr:colOff>476250</xdr:colOff>
      <xdr:row>11</xdr:row>
      <xdr:rowOff>76200</xdr:rowOff>
    </xdr:to>
    <xdr:graphicFrame macro="">
      <xdr:nvGraphicFramePr>
        <xdr:cNvPr id="3" name="Chart 2">
          <a:extLst>
            <a:ext uri="{FF2B5EF4-FFF2-40B4-BE49-F238E27FC236}">
              <a16:creationId xmlns:a16="http://schemas.microsoft.com/office/drawing/2014/main" id="{FEB55BD9-860E-546E-E474-872ACFBF8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180975</xdr:colOff>
      <xdr:row>0</xdr:row>
      <xdr:rowOff>123825</xdr:rowOff>
    </xdr:from>
    <xdr:to>
      <xdr:col>29</xdr:col>
      <xdr:colOff>504825</xdr:colOff>
      <xdr:row>8</xdr:row>
      <xdr:rowOff>52387</xdr:rowOff>
    </xdr:to>
    <xdr:graphicFrame macro="">
      <xdr:nvGraphicFramePr>
        <xdr:cNvPr id="5" name="Chart 4">
          <a:extLst>
            <a:ext uri="{FF2B5EF4-FFF2-40B4-BE49-F238E27FC236}">
              <a16:creationId xmlns:a16="http://schemas.microsoft.com/office/drawing/2014/main" id="{4493C820-12DB-BEAF-08C6-E81B1105E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76199</xdr:colOff>
      <xdr:row>1</xdr:row>
      <xdr:rowOff>47625</xdr:rowOff>
    </xdr:from>
    <xdr:to>
      <xdr:col>37</xdr:col>
      <xdr:colOff>219074</xdr:colOff>
      <xdr:row>11</xdr:row>
      <xdr:rowOff>0</xdr:rowOff>
    </xdr:to>
    <xdr:graphicFrame macro="">
      <xdr:nvGraphicFramePr>
        <xdr:cNvPr id="6" name="Chart 5">
          <a:extLst>
            <a:ext uri="{FF2B5EF4-FFF2-40B4-BE49-F238E27FC236}">
              <a16:creationId xmlns:a16="http://schemas.microsoft.com/office/drawing/2014/main" id="{B896798E-2FB2-2B66-5EF1-7D1FD52AA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133350</xdr:colOff>
      <xdr:row>1</xdr:row>
      <xdr:rowOff>0</xdr:rowOff>
    </xdr:from>
    <xdr:to>
      <xdr:col>47</xdr:col>
      <xdr:colOff>228600</xdr:colOff>
      <xdr:row>13</xdr:row>
      <xdr:rowOff>85725</xdr:rowOff>
    </xdr:to>
    <xdr:graphicFrame macro="">
      <xdr:nvGraphicFramePr>
        <xdr:cNvPr id="7" name="Chart 6">
          <a:extLst>
            <a:ext uri="{FF2B5EF4-FFF2-40B4-BE49-F238E27FC236}">
              <a16:creationId xmlns:a16="http://schemas.microsoft.com/office/drawing/2014/main" id="{1584C86D-D8B0-F215-1E3C-04CDF92A0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561975</xdr:colOff>
      <xdr:row>1</xdr:row>
      <xdr:rowOff>161925</xdr:rowOff>
    </xdr:from>
    <xdr:to>
      <xdr:col>59</xdr:col>
      <xdr:colOff>266700</xdr:colOff>
      <xdr:row>13</xdr:row>
      <xdr:rowOff>9524</xdr:rowOff>
    </xdr:to>
    <xdr:graphicFrame macro="">
      <xdr:nvGraphicFramePr>
        <xdr:cNvPr id="8" name="Chart 7">
          <a:extLst>
            <a:ext uri="{FF2B5EF4-FFF2-40B4-BE49-F238E27FC236}">
              <a16:creationId xmlns:a16="http://schemas.microsoft.com/office/drawing/2014/main" id="{7E660EC6-2480-EFDD-9F8E-1617417CB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64</xdr:col>
      <xdr:colOff>238125</xdr:colOff>
      <xdr:row>1</xdr:row>
      <xdr:rowOff>57150</xdr:rowOff>
    </xdr:from>
    <xdr:to>
      <xdr:col>66</xdr:col>
      <xdr:colOff>333375</xdr:colOff>
      <xdr:row>9</xdr:row>
      <xdr:rowOff>76200</xdr:rowOff>
    </xdr:to>
    <xdr:graphicFrame macro="">
      <xdr:nvGraphicFramePr>
        <xdr:cNvPr id="9" name="Chart 8">
          <a:extLst>
            <a:ext uri="{FF2B5EF4-FFF2-40B4-BE49-F238E27FC236}">
              <a16:creationId xmlns:a16="http://schemas.microsoft.com/office/drawing/2014/main" id="{37C03745-FA9A-E2F2-2BA5-8BCC39674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0</xdr:colOff>
      <xdr:row>12</xdr:row>
      <xdr:rowOff>140494</xdr:rowOff>
    </xdr:from>
    <xdr:to>
      <xdr:col>18</xdr:col>
      <xdr:colOff>7144</xdr:colOff>
      <xdr:row>19</xdr:row>
      <xdr:rowOff>166688</xdr:rowOff>
    </xdr:to>
    <mc:AlternateContent xmlns:mc="http://schemas.openxmlformats.org/markup-compatibility/2006" xmlns:a14="http://schemas.microsoft.com/office/drawing/2010/main">
      <mc:Choice Requires="a14">
        <xdr:graphicFrame macro="">
          <xdr:nvGraphicFramePr>
            <xdr:cNvPr id="11" name="category Cleaned">
              <a:extLst>
                <a:ext uri="{FF2B5EF4-FFF2-40B4-BE49-F238E27FC236}">
                  <a16:creationId xmlns:a16="http://schemas.microsoft.com/office/drawing/2014/main" id="{AD46E361-2009-67B1-2BC0-A1528D17975E}"/>
                </a:ext>
              </a:extLst>
            </xdr:cNvPr>
            <xdr:cNvGraphicFramePr/>
          </xdr:nvGraphicFramePr>
          <xdr:xfrm>
            <a:off x="0" y="0"/>
            <a:ext cx="0" cy="0"/>
          </xdr:xfrm>
          <a:graphic>
            <a:graphicData uri="http://schemas.microsoft.com/office/drawing/2010/slicer">
              <sle:slicer xmlns:sle="http://schemas.microsoft.com/office/drawing/2010/slicer" name="category Cleaned"/>
            </a:graphicData>
          </a:graphic>
        </xdr:graphicFrame>
      </mc:Choice>
      <mc:Fallback xmlns="">
        <xdr:sp macro="" textlink="">
          <xdr:nvSpPr>
            <xdr:cNvPr id="0" name=""/>
            <xdr:cNvSpPr>
              <a:spLocks noTextEdit="1"/>
            </xdr:cNvSpPr>
          </xdr:nvSpPr>
          <xdr:spPr>
            <a:xfrm>
              <a:off x="11037094" y="2426494"/>
              <a:ext cx="1828800" cy="1359694"/>
            </a:xfrm>
            <a:prstGeom prst="rect">
              <a:avLst/>
            </a:prstGeom>
            <a:solidFill>
              <a:prstClr val="white"/>
            </a:solidFill>
            <a:ln w="1">
              <a:solidFill>
                <a:prstClr val="green"/>
              </a:solidFill>
            </a:ln>
          </xdr:spPr>
          <xdr:txBody>
            <a:bodyPr vertOverflow="clip" horzOverflow="clip"/>
            <a:lstStyle/>
            <a:p>
              <a:r>
                <a:rPr lang="en-N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476590</xdr:colOff>
      <xdr:row>2</xdr:row>
      <xdr:rowOff>0</xdr:rowOff>
    </xdr:from>
    <xdr:to>
      <xdr:col>19</xdr:col>
      <xdr:colOff>430096</xdr:colOff>
      <xdr:row>31</xdr:row>
      <xdr:rowOff>63850</xdr:rowOff>
    </xdr:to>
    <xdr:grpSp>
      <xdr:nvGrpSpPr>
        <xdr:cNvPr id="133" name="Group 132">
          <a:extLst>
            <a:ext uri="{FF2B5EF4-FFF2-40B4-BE49-F238E27FC236}">
              <a16:creationId xmlns:a16="http://schemas.microsoft.com/office/drawing/2014/main" id="{93456BDC-EE1A-5E65-7CD8-EA73BCA489E1}"/>
            </a:ext>
          </a:extLst>
        </xdr:cNvPr>
        <xdr:cNvGrpSpPr/>
      </xdr:nvGrpSpPr>
      <xdr:grpSpPr>
        <a:xfrm>
          <a:off x="3538197" y="381000"/>
          <a:ext cx="7927292" cy="5588350"/>
          <a:chOff x="130969" y="-246925"/>
          <a:chExt cx="7871202" cy="5354706"/>
        </a:xfrm>
      </xdr:grpSpPr>
      <xdr:sp macro="" textlink="">
        <xdr:nvSpPr>
          <xdr:cNvPr id="2" name="Rectangle: Rounded Corners 1">
            <a:extLst>
              <a:ext uri="{FF2B5EF4-FFF2-40B4-BE49-F238E27FC236}">
                <a16:creationId xmlns:a16="http://schemas.microsoft.com/office/drawing/2014/main" id="{093517AB-BBC6-F8F0-D885-FE5E4FB488E3}"/>
              </a:ext>
            </a:extLst>
          </xdr:cNvPr>
          <xdr:cNvSpPr/>
        </xdr:nvSpPr>
        <xdr:spPr>
          <a:xfrm>
            <a:off x="130969" y="-246925"/>
            <a:ext cx="7719830" cy="5354706"/>
          </a:xfrm>
          <a:prstGeom prst="roundRect">
            <a:avLst>
              <a:gd name="adj" fmla="val 1512"/>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A" sz="1100"/>
          </a:p>
        </xdr:txBody>
      </xdr:sp>
      <xdr:sp macro="" textlink="">
        <xdr:nvSpPr>
          <xdr:cNvPr id="19" name="Rectangle: Rounded Corners 18">
            <a:extLst>
              <a:ext uri="{FF2B5EF4-FFF2-40B4-BE49-F238E27FC236}">
                <a16:creationId xmlns:a16="http://schemas.microsoft.com/office/drawing/2014/main" id="{9EBBA7B7-986B-9F50-CAE5-DFD8E0A408F6}"/>
              </a:ext>
            </a:extLst>
          </xdr:cNvPr>
          <xdr:cNvSpPr/>
        </xdr:nvSpPr>
        <xdr:spPr>
          <a:xfrm>
            <a:off x="329713" y="-155657"/>
            <a:ext cx="7303110" cy="595273"/>
          </a:xfrm>
          <a:prstGeom prst="roundRect">
            <a:avLst>
              <a:gd name="adj" fmla="val 12412"/>
            </a:avLst>
          </a:prstGeom>
          <a:solidFill>
            <a:schemeClr val="tx2">
              <a:lumMod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sp macro="" textlink="">
        <xdr:nvSpPr>
          <xdr:cNvPr id="20" name="Rectangle: Rounded Corners 19">
            <a:extLst>
              <a:ext uri="{FF2B5EF4-FFF2-40B4-BE49-F238E27FC236}">
                <a16:creationId xmlns:a16="http://schemas.microsoft.com/office/drawing/2014/main" id="{5ACAEC9E-6EBA-CF4A-FA9C-899B64206E00}"/>
              </a:ext>
            </a:extLst>
          </xdr:cNvPr>
          <xdr:cNvSpPr/>
        </xdr:nvSpPr>
        <xdr:spPr>
          <a:xfrm>
            <a:off x="2536239" y="960868"/>
            <a:ext cx="2933700" cy="1869280"/>
          </a:xfrm>
          <a:prstGeom prst="roundRect">
            <a:avLst>
              <a:gd name="adj" fmla="val 1235"/>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sp macro="" textlink="">
        <xdr:nvSpPr>
          <xdr:cNvPr id="46" name="TextBox 45">
            <a:extLst>
              <a:ext uri="{FF2B5EF4-FFF2-40B4-BE49-F238E27FC236}">
                <a16:creationId xmlns:a16="http://schemas.microsoft.com/office/drawing/2014/main" id="{80836099-F94F-E5C6-1326-91D0AD1A4D83}"/>
              </a:ext>
            </a:extLst>
          </xdr:cNvPr>
          <xdr:cNvSpPr txBox="1"/>
        </xdr:nvSpPr>
        <xdr:spPr>
          <a:xfrm>
            <a:off x="2089802" y="-64390"/>
            <a:ext cx="3053360" cy="419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Shoe</a:t>
            </a:r>
            <a:r>
              <a:rPr lang="en-US" sz="1800" b="1" baseline="0">
                <a:solidFill>
                  <a:schemeClr val="bg1"/>
                </a:solidFill>
              </a:rPr>
              <a:t> Sales Performance</a:t>
            </a:r>
            <a:endParaRPr lang="en-NA" sz="1800" b="1">
              <a:solidFill>
                <a:schemeClr val="bg1"/>
              </a:solidFill>
            </a:endParaRPr>
          </a:p>
        </xdr:txBody>
      </xdr:sp>
      <xdr:sp macro="" textlink="">
        <xdr:nvSpPr>
          <xdr:cNvPr id="34" name="TextBox 33">
            <a:extLst>
              <a:ext uri="{FF2B5EF4-FFF2-40B4-BE49-F238E27FC236}">
                <a16:creationId xmlns:a16="http://schemas.microsoft.com/office/drawing/2014/main" id="{56A2EC28-E308-EC37-840C-9CB33230FCE9}"/>
              </a:ext>
            </a:extLst>
          </xdr:cNvPr>
          <xdr:cNvSpPr txBox="1"/>
        </xdr:nvSpPr>
        <xdr:spPr>
          <a:xfrm>
            <a:off x="919436" y="996096"/>
            <a:ext cx="1049425" cy="224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A" sz="800" b="1">
              <a:solidFill>
                <a:schemeClr val="tx2">
                  <a:lumMod val="75000"/>
                </a:schemeClr>
              </a:solidFill>
            </a:endParaRPr>
          </a:p>
        </xdr:txBody>
      </xdr:sp>
      <xdr:sp macro="" textlink="">
        <xdr:nvSpPr>
          <xdr:cNvPr id="16" name="Rectangle: Rounded Corners 15">
            <a:extLst>
              <a:ext uri="{FF2B5EF4-FFF2-40B4-BE49-F238E27FC236}">
                <a16:creationId xmlns:a16="http://schemas.microsoft.com/office/drawing/2014/main" id="{0B0F9CC4-38F8-2337-688E-D1E325A7E1EF}"/>
              </a:ext>
            </a:extLst>
          </xdr:cNvPr>
          <xdr:cNvSpPr/>
        </xdr:nvSpPr>
        <xdr:spPr>
          <a:xfrm>
            <a:off x="400966" y="493568"/>
            <a:ext cx="1263744" cy="363682"/>
          </a:xfrm>
          <a:prstGeom prst="roundRect">
            <a:avLst>
              <a:gd name="adj" fmla="val 12412"/>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sp macro="" textlink="">
        <xdr:nvSpPr>
          <xdr:cNvPr id="90" name="Rectangle: Rounded Corners 89">
            <a:extLst>
              <a:ext uri="{FF2B5EF4-FFF2-40B4-BE49-F238E27FC236}">
                <a16:creationId xmlns:a16="http://schemas.microsoft.com/office/drawing/2014/main" id="{1D62DA45-FEA4-9C00-6211-9EEC0DBB3A1A}"/>
              </a:ext>
            </a:extLst>
          </xdr:cNvPr>
          <xdr:cNvSpPr/>
        </xdr:nvSpPr>
        <xdr:spPr>
          <a:xfrm>
            <a:off x="206801" y="2997994"/>
            <a:ext cx="2194414" cy="2000250"/>
          </a:xfrm>
          <a:prstGeom prst="roundRect">
            <a:avLst>
              <a:gd name="adj" fmla="val 1235"/>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sp macro="" textlink="">
        <xdr:nvSpPr>
          <xdr:cNvPr id="91" name="Rectangle: Rounded Corners 90">
            <a:extLst>
              <a:ext uri="{FF2B5EF4-FFF2-40B4-BE49-F238E27FC236}">
                <a16:creationId xmlns:a16="http://schemas.microsoft.com/office/drawing/2014/main" id="{40461C8B-A5F2-AF0F-7626-B97DCCCD0DF4}"/>
              </a:ext>
            </a:extLst>
          </xdr:cNvPr>
          <xdr:cNvSpPr/>
        </xdr:nvSpPr>
        <xdr:spPr>
          <a:xfrm>
            <a:off x="5559536" y="2997994"/>
            <a:ext cx="2196246" cy="2000250"/>
          </a:xfrm>
          <a:prstGeom prst="roundRect">
            <a:avLst>
              <a:gd name="adj" fmla="val 1235"/>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sp macro="" textlink="">
        <xdr:nvSpPr>
          <xdr:cNvPr id="96" name="Rectangle: Rounded Corners 95">
            <a:extLst>
              <a:ext uri="{FF2B5EF4-FFF2-40B4-BE49-F238E27FC236}">
                <a16:creationId xmlns:a16="http://schemas.microsoft.com/office/drawing/2014/main" id="{98F7D3BA-4FF9-B008-85CE-4DDC5F5265A4}"/>
              </a:ext>
            </a:extLst>
          </xdr:cNvPr>
          <xdr:cNvSpPr/>
        </xdr:nvSpPr>
        <xdr:spPr>
          <a:xfrm>
            <a:off x="5565397" y="951376"/>
            <a:ext cx="2196246" cy="1888265"/>
          </a:xfrm>
          <a:prstGeom prst="roundRect">
            <a:avLst>
              <a:gd name="adj" fmla="val 1235"/>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graphicFrame macro="">
        <xdr:nvGraphicFramePr>
          <xdr:cNvPr id="93" name="Chart 92">
            <a:extLst>
              <a:ext uri="{FF2B5EF4-FFF2-40B4-BE49-F238E27FC236}">
                <a16:creationId xmlns:a16="http://schemas.microsoft.com/office/drawing/2014/main" id="{C09E8ECD-C1AE-4775-A945-316E3AAC4E40}"/>
              </a:ext>
            </a:extLst>
          </xdr:cNvPr>
          <xdr:cNvGraphicFramePr>
            <a:graphicFrameLocks/>
          </xdr:cNvGraphicFramePr>
        </xdr:nvGraphicFramePr>
        <xdr:xfrm>
          <a:off x="5578953" y="940593"/>
          <a:ext cx="2207734" cy="192881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98" name="Chart 97">
            <a:extLst>
              <a:ext uri="{FF2B5EF4-FFF2-40B4-BE49-F238E27FC236}">
                <a16:creationId xmlns:a16="http://schemas.microsoft.com/office/drawing/2014/main" id="{425AD1BC-6731-49BD-8BF0-B0484B59A167}"/>
              </a:ext>
            </a:extLst>
          </xdr:cNvPr>
          <xdr:cNvGraphicFramePr>
            <a:graphicFrameLocks/>
          </xdr:cNvGraphicFramePr>
        </xdr:nvGraphicFramePr>
        <xdr:xfrm>
          <a:off x="5500688" y="2966536"/>
          <a:ext cx="2382998" cy="210552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03" name="Rectangle: Rounded Corners 102">
            <a:extLst>
              <a:ext uri="{FF2B5EF4-FFF2-40B4-BE49-F238E27FC236}">
                <a16:creationId xmlns:a16="http://schemas.microsoft.com/office/drawing/2014/main" id="{31E1FB30-4712-6468-4246-29439EB1E155}"/>
              </a:ext>
            </a:extLst>
          </xdr:cNvPr>
          <xdr:cNvSpPr/>
        </xdr:nvSpPr>
        <xdr:spPr>
          <a:xfrm>
            <a:off x="1890113" y="510886"/>
            <a:ext cx="1263744" cy="337705"/>
          </a:xfrm>
          <a:prstGeom prst="roundRect">
            <a:avLst>
              <a:gd name="adj" fmla="val 12412"/>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sp macro="" textlink="">
        <xdr:nvSpPr>
          <xdr:cNvPr id="104" name="Rectangle: Rounded Corners 103">
            <a:extLst>
              <a:ext uri="{FF2B5EF4-FFF2-40B4-BE49-F238E27FC236}">
                <a16:creationId xmlns:a16="http://schemas.microsoft.com/office/drawing/2014/main" id="{220818F5-48BA-7923-AC18-821C945ADB8E}"/>
              </a:ext>
            </a:extLst>
          </xdr:cNvPr>
          <xdr:cNvSpPr/>
        </xdr:nvSpPr>
        <xdr:spPr>
          <a:xfrm>
            <a:off x="4867325" y="502227"/>
            <a:ext cx="1270238" cy="337705"/>
          </a:xfrm>
          <a:prstGeom prst="roundRect">
            <a:avLst>
              <a:gd name="adj" fmla="val 12412"/>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sp macro="" textlink="">
        <xdr:nvSpPr>
          <xdr:cNvPr id="105" name="Rectangle: Rounded Corners 104">
            <a:extLst>
              <a:ext uri="{FF2B5EF4-FFF2-40B4-BE49-F238E27FC236}">
                <a16:creationId xmlns:a16="http://schemas.microsoft.com/office/drawing/2014/main" id="{A3AC4BE4-36BB-A14B-1E5B-2ADAB05F7C4D}"/>
              </a:ext>
            </a:extLst>
          </xdr:cNvPr>
          <xdr:cNvSpPr/>
        </xdr:nvSpPr>
        <xdr:spPr>
          <a:xfrm>
            <a:off x="3378178" y="510886"/>
            <a:ext cx="1263743" cy="329046"/>
          </a:xfrm>
          <a:prstGeom prst="roundRect">
            <a:avLst>
              <a:gd name="adj" fmla="val 12412"/>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sp macro="" textlink="">
        <xdr:nvSpPr>
          <xdr:cNvPr id="106" name="Rectangle: Rounded Corners 105">
            <a:extLst>
              <a:ext uri="{FF2B5EF4-FFF2-40B4-BE49-F238E27FC236}">
                <a16:creationId xmlns:a16="http://schemas.microsoft.com/office/drawing/2014/main" id="{A177A6DC-7E48-BA40-CE79-92930B05C008}"/>
              </a:ext>
            </a:extLst>
          </xdr:cNvPr>
          <xdr:cNvSpPr/>
        </xdr:nvSpPr>
        <xdr:spPr>
          <a:xfrm>
            <a:off x="6361884" y="510886"/>
            <a:ext cx="1263744" cy="311728"/>
          </a:xfrm>
          <a:prstGeom prst="roundRect">
            <a:avLst>
              <a:gd name="adj" fmla="val 12412"/>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sp macro="" textlink="'Pivot Table'!$A$3">
        <xdr:nvSpPr>
          <xdr:cNvPr id="109" name="TextBox 108">
            <a:extLst>
              <a:ext uri="{FF2B5EF4-FFF2-40B4-BE49-F238E27FC236}">
                <a16:creationId xmlns:a16="http://schemas.microsoft.com/office/drawing/2014/main" id="{9EFE5BA9-26EE-4652-849A-FEC1C7815C9C}"/>
              </a:ext>
            </a:extLst>
          </xdr:cNvPr>
          <xdr:cNvSpPr txBox="1"/>
        </xdr:nvSpPr>
        <xdr:spPr>
          <a:xfrm>
            <a:off x="644504" y="615013"/>
            <a:ext cx="1269503"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E96E4D-D814-4D69-8E98-7E4AC0B7E775}" type="TxLink">
              <a:rPr lang="en-US" sz="1100" b="1" i="0" u="none" strike="noStrike">
                <a:solidFill>
                  <a:schemeClr val="tx2">
                    <a:lumMod val="75000"/>
                  </a:schemeClr>
                </a:solidFill>
                <a:latin typeface="Calibri"/>
                <a:cs typeface="Calibri"/>
              </a:rPr>
              <a:pPr/>
              <a:t>$135,952</a:t>
            </a:fld>
            <a:endParaRPr lang="en-NA" sz="900" b="1">
              <a:solidFill>
                <a:schemeClr val="tx2">
                  <a:lumMod val="75000"/>
                </a:schemeClr>
              </a:solidFill>
            </a:endParaRPr>
          </a:p>
        </xdr:txBody>
      </xdr:sp>
      <xdr:sp macro="" textlink="">
        <xdr:nvSpPr>
          <xdr:cNvPr id="113" name="TextBox 112">
            <a:extLst>
              <a:ext uri="{FF2B5EF4-FFF2-40B4-BE49-F238E27FC236}">
                <a16:creationId xmlns:a16="http://schemas.microsoft.com/office/drawing/2014/main" id="{B09ACF26-C354-4D19-BCDE-8C925B80916A}"/>
              </a:ext>
            </a:extLst>
          </xdr:cNvPr>
          <xdr:cNvSpPr txBox="1"/>
        </xdr:nvSpPr>
        <xdr:spPr>
          <a:xfrm>
            <a:off x="691811" y="469920"/>
            <a:ext cx="1332489" cy="208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tx2">
                    <a:lumMod val="75000"/>
                  </a:schemeClr>
                </a:solidFill>
              </a:rPr>
              <a:t>Revenue</a:t>
            </a:r>
            <a:endParaRPr lang="en-NA" sz="1050" b="1">
              <a:solidFill>
                <a:schemeClr val="tx2">
                  <a:lumMod val="75000"/>
                </a:schemeClr>
              </a:solidFill>
            </a:endParaRPr>
          </a:p>
        </xdr:txBody>
      </xdr:sp>
      <xdr:sp macro="" textlink="">
        <xdr:nvSpPr>
          <xdr:cNvPr id="115" name="TextBox 114">
            <a:extLst>
              <a:ext uri="{FF2B5EF4-FFF2-40B4-BE49-F238E27FC236}">
                <a16:creationId xmlns:a16="http://schemas.microsoft.com/office/drawing/2014/main" id="{EE3B8247-5D8F-4B3C-B0B8-10AB0FC8BF30}"/>
              </a:ext>
            </a:extLst>
          </xdr:cNvPr>
          <xdr:cNvSpPr txBox="1"/>
        </xdr:nvSpPr>
        <xdr:spPr>
          <a:xfrm>
            <a:off x="2097931" y="481664"/>
            <a:ext cx="1062949"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solidFill>
                  <a:schemeClr val="tx2">
                    <a:lumMod val="75000"/>
                  </a:schemeClr>
                </a:solidFill>
                <a:effectLst/>
                <a:latin typeface="+mn-lt"/>
                <a:ea typeface="+mn-ea"/>
                <a:cs typeface="+mn-cs"/>
              </a:rPr>
              <a:t>Total</a:t>
            </a:r>
            <a:r>
              <a:rPr lang="en-US" sz="1050" b="1" baseline="0">
                <a:solidFill>
                  <a:schemeClr val="tx2">
                    <a:lumMod val="75000"/>
                  </a:schemeClr>
                </a:solidFill>
                <a:effectLst/>
                <a:latin typeface="+mn-lt"/>
                <a:ea typeface="+mn-ea"/>
                <a:cs typeface="+mn-cs"/>
              </a:rPr>
              <a:t> </a:t>
            </a:r>
            <a:r>
              <a:rPr lang="en-US" sz="1000" b="1" baseline="0">
                <a:solidFill>
                  <a:schemeClr val="tx2">
                    <a:lumMod val="75000"/>
                  </a:schemeClr>
                </a:solidFill>
                <a:effectLst/>
                <a:latin typeface="+mn-lt"/>
                <a:ea typeface="+mn-ea"/>
                <a:cs typeface="+mn-cs"/>
              </a:rPr>
              <a:t>Cost</a:t>
            </a:r>
            <a:endParaRPr lang="en-US" sz="1050" b="1" baseline="0">
              <a:solidFill>
                <a:schemeClr val="tx2">
                  <a:lumMod val="75000"/>
                </a:schemeClr>
              </a:solidFill>
              <a:effectLst/>
              <a:latin typeface="+mn-lt"/>
              <a:ea typeface="+mn-ea"/>
              <a:cs typeface="+mn-cs"/>
            </a:endParaRPr>
          </a:p>
          <a:p>
            <a:endParaRPr lang="en-NA" sz="900" b="1">
              <a:solidFill>
                <a:schemeClr val="tx2">
                  <a:lumMod val="75000"/>
                </a:schemeClr>
              </a:solidFill>
            </a:endParaRPr>
          </a:p>
        </xdr:txBody>
      </xdr:sp>
      <xdr:sp macro="" textlink="'Pivot Table'!$B$3">
        <xdr:nvSpPr>
          <xdr:cNvPr id="116" name="TextBox 115">
            <a:extLst>
              <a:ext uri="{FF2B5EF4-FFF2-40B4-BE49-F238E27FC236}">
                <a16:creationId xmlns:a16="http://schemas.microsoft.com/office/drawing/2014/main" id="{30DF1541-FABA-4A12-AA67-DC63B70ECF06}"/>
              </a:ext>
            </a:extLst>
          </xdr:cNvPr>
          <xdr:cNvSpPr txBox="1"/>
        </xdr:nvSpPr>
        <xdr:spPr>
          <a:xfrm>
            <a:off x="2089272" y="628869"/>
            <a:ext cx="1145179"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3EA7FD-75CC-4734-97DD-76A09E55CD34}" type="TxLink">
              <a:rPr lang="en-US" sz="1100" b="1" i="0" u="none" strike="noStrike" baseline="0">
                <a:solidFill>
                  <a:schemeClr val="tx2">
                    <a:lumMod val="75000"/>
                  </a:schemeClr>
                </a:solidFill>
                <a:effectLst/>
                <a:latin typeface="Calibri"/>
                <a:ea typeface="+mn-ea"/>
                <a:cs typeface="Calibri"/>
              </a:rPr>
              <a:pPr/>
              <a:t>$74,027</a:t>
            </a:fld>
            <a:endParaRPr lang="en-NA" sz="900" b="1">
              <a:solidFill>
                <a:schemeClr val="tx2">
                  <a:lumMod val="75000"/>
                </a:schemeClr>
              </a:solidFill>
            </a:endParaRPr>
          </a:p>
        </xdr:txBody>
      </xdr:sp>
      <xdr:sp macro="" textlink="">
        <xdr:nvSpPr>
          <xdr:cNvPr id="117" name="TextBox 116">
            <a:extLst>
              <a:ext uri="{FF2B5EF4-FFF2-40B4-BE49-F238E27FC236}">
                <a16:creationId xmlns:a16="http://schemas.microsoft.com/office/drawing/2014/main" id="{44C1E403-E2BC-4549-A3BE-8D83E5B149BB}"/>
              </a:ext>
            </a:extLst>
          </xdr:cNvPr>
          <xdr:cNvSpPr txBox="1"/>
        </xdr:nvSpPr>
        <xdr:spPr>
          <a:xfrm>
            <a:off x="3751601" y="466078"/>
            <a:ext cx="1332489" cy="208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chemeClr val="tx2">
                    <a:lumMod val="75000"/>
                  </a:schemeClr>
                </a:solidFill>
              </a:rPr>
              <a:t>Profit</a:t>
            </a:r>
            <a:endParaRPr lang="en-NA" sz="1200" b="1">
              <a:solidFill>
                <a:schemeClr val="tx2">
                  <a:lumMod val="75000"/>
                </a:schemeClr>
              </a:solidFill>
            </a:endParaRPr>
          </a:p>
        </xdr:txBody>
      </xdr:sp>
      <xdr:sp macro="" textlink="'Pivot Table'!$C$3">
        <xdr:nvSpPr>
          <xdr:cNvPr id="118" name="TextBox 117">
            <a:extLst>
              <a:ext uri="{FF2B5EF4-FFF2-40B4-BE49-F238E27FC236}">
                <a16:creationId xmlns:a16="http://schemas.microsoft.com/office/drawing/2014/main" id="{8C3688DF-5284-4569-85D4-50C094C0A5D5}"/>
              </a:ext>
            </a:extLst>
          </xdr:cNvPr>
          <xdr:cNvSpPr txBox="1"/>
        </xdr:nvSpPr>
        <xdr:spPr>
          <a:xfrm>
            <a:off x="3637951" y="595965"/>
            <a:ext cx="742466" cy="235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BCE22C-DE9D-4D38-A91D-07EBF90B8A12}" type="TxLink">
              <a:rPr lang="en-US" sz="1100" b="1" i="0" u="none" strike="noStrike">
                <a:solidFill>
                  <a:schemeClr val="tx2">
                    <a:lumMod val="75000"/>
                  </a:schemeClr>
                </a:solidFill>
                <a:latin typeface="Calibri"/>
                <a:cs typeface="Calibri"/>
              </a:rPr>
              <a:pPr/>
              <a:t>$61,925</a:t>
            </a:fld>
            <a:endParaRPr lang="en-NA" sz="1100" b="1">
              <a:solidFill>
                <a:schemeClr val="tx2">
                  <a:lumMod val="75000"/>
                </a:schemeClr>
              </a:solidFill>
            </a:endParaRPr>
          </a:p>
        </xdr:txBody>
      </xdr:sp>
      <xdr:sp macro="" textlink="">
        <xdr:nvSpPr>
          <xdr:cNvPr id="120" name="TextBox 119">
            <a:extLst>
              <a:ext uri="{FF2B5EF4-FFF2-40B4-BE49-F238E27FC236}">
                <a16:creationId xmlns:a16="http://schemas.microsoft.com/office/drawing/2014/main" id="{0C380898-ABD3-48ED-959B-43A1E8E05FB3}"/>
              </a:ext>
            </a:extLst>
          </xdr:cNvPr>
          <xdr:cNvSpPr txBox="1"/>
        </xdr:nvSpPr>
        <xdr:spPr>
          <a:xfrm>
            <a:off x="5126181" y="478200"/>
            <a:ext cx="1271506" cy="318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75000"/>
                  </a:schemeClr>
                </a:solidFill>
              </a:rPr>
              <a:t>Profit</a:t>
            </a:r>
            <a:r>
              <a:rPr lang="en-US" sz="1000" b="1" baseline="0">
                <a:solidFill>
                  <a:schemeClr val="tx2">
                    <a:lumMod val="75000"/>
                  </a:schemeClr>
                </a:solidFill>
              </a:rPr>
              <a:t> Margin</a:t>
            </a:r>
            <a:endParaRPr lang="en-NA" sz="1000" b="1">
              <a:solidFill>
                <a:schemeClr val="tx2">
                  <a:lumMod val="75000"/>
                </a:schemeClr>
              </a:solidFill>
            </a:endParaRPr>
          </a:p>
        </xdr:txBody>
      </xdr:sp>
      <xdr:sp macro="" textlink="'Pivot Table'!$D$3">
        <xdr:nvSpPr>
          <xdr:cNvPr id="122" name="TextBox 121">
            <a:extLst>
              <a:ext uri="{FF2B5EF4-FFF2-40B4-BE49-F238E27FC236}">
                <a16:creationId xmlns:a16="http://schemas.microsoft.com/office/drawing/2014/main" id="{36ADFA1F-07B4-4B86-A2AA-E89BE7DE7915}"/>
              </a:ext>
            </a:extLst>
          </xdr:cNvPr>
          <xdr:cNvSpPr txBox="1"/>
        </xdr:nvSpPr>
        <xdr:spPr>
          <a:xfrm>
            <a:off x="5187711" y="616746"/>
            <a:ext cx="1072812" cy="244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66C5F2-2E8A-43F8-AA1F-80FECBD8B69F}" type="TxLink">
              <a:rPr lang="en-US" sz="1100" b="1" i="0" u="none" strike="noStrike">
                <a:solidFill>
                  <a:schemeClr val="tx2">
                    <a:lumMod val="75000"/>
                  </a:schemeClr>
                </a:solidFill>
                <a:latin typeface="Calibri"/>
                <a:cs typeface="Calibri"/>
              </a:rPr>
              <a:pPr/>
              <a:t>47.2%</a:t>
            </a:fld>
            <a:endParaRPr lang="en-NA" sz="1100" b="1">
              <a:solidFill>
                <a:schemeClr val="tx2">
                  <a:lumMod val="75000"/>
                </a:schemeClr>
              </a:solidFill>
            </a:endParaRPr>
          </a:p>
        </xdr:txBody>
      </xdr:sp>
      <xdr:sp macro="" textlink="">
        <xdr:nvSpPr>
          <xdr:cNvPr id="124" name="TextBox 123">
            <a:extLst>
              <a:ext uri="{FF2B5EF4-FFF2-40B4-BE49-F238E27FC236}">
                <a16:creationId xmlns:a16="http://schemas.microsoft.com/office/drawing/2014/main" id="{3BC6C7B9-8BB3-448F-B463-ACC56B61BAED}"/>
              </a:ext>
            </a:extLst>
          </xdr:cNvPr>
          <xdr:cNvSpPr txBox="1"/>
        </xdr:nvSpPr>
        <xdr:spPr>
          <a:xfrm>
            <a:off x="6526407" y="479932"/>
            <a:ext cx="1296305" cy="292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75000"/>
                  </a:schemeClr>
                </a:solidFill>
              </a:rPr>
              <a:t>Quantity</a:t>
            </a:r>
            <a:r>
              <a:rPr lang="en-US" sz="1000" b="1" baseline="0">
                <a:solidFill>
                  <a:schemeClr val="tx2">
                    <a:lumMod val="75000"/>
                  </a:schemeClr>
                </a:solidFill>
              </a:rPr>
              <a:t> Sold</a:t>
            </a:r>
            <a:endParaRPr lang="en-NA" sz="1000" b="1">
              <a:solidFill>
                <a:schemeClr val="tx2">
                  <a:lumMod val="75000"/>
                </a:schemeClr>
              </a:solidFill>
            </a:endParaRPr>
          </a:p>
        </xdr:txBody>
      </xdr:sp>
      <xdr:sp macro="" textlink="'Pivot Table'!$E$3">
        <xdr:nvSpPr>
          <xdr:cNvPr id="125" name="TextBox 124">
            <a:extLst>
              <a:ext uri="{FF2B5EF4-FFF2-40B4-BE49-F238E27FC236}">
                <a16:creationId xmlns:a16="http://schemas.microsoft.com/office/drawing/2014/main" id="{D4F571BB-5C06-47C9-9CEA-0E8FD7FB5EF5}"/>
              </a:ext>
            </a:extLst>
          </xdr:cNvPr>
          <xdr:cNvSpPr txBox="1"/>
        </xdr:nvSpPr>
        <xdr:spPr>
          <a:xfrm>
            <a:off x="6705867" y="597695"/>
            <a:ext cx="1296304" cy="292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93BC42-865C-45E1-9942-8CB6748C646A}" type="TxLink">
              <a:rPr lang="en-US" sz="1100" b="1" i="0" u="none" strike="noStrike">
                <a:solidFill>
                  <a:schemeClr val="tx2">
                    <a:lumMod val="75000"/>
                  </a:schemeClr>
                </a:solidFill>
                <a:latin typeface="Calibri"/>
                <a:cs typeface="Calibri"/>
              </a:rPr>
              <a:pPr/>
              <a:t> 1,504 </a:t>
            </a:fld>
            <a:endParaRPr lang="en-NA" sz="1100" b="1">
              <a:solidFill>
                <a:schemeClr val="tx2">
                  <a:lumMod val="75000"/>
                </a:schemeClr>
              </a:solidFill>
            </a:endParaRPr>
          </a:p>
        </xdr:txBody>
      </xdr:sp>
      <xdr:sp macro="" textlink="">
        <xdr:nvSpPr>
          <xdr:cNvPr id="129" name="Rectangle: Rounded Corners 128">
            <a:extLst>
              <a:ext uri="{FF2B5EF4-FFF2-40B4-BE49-F238E27FC236}">
                <a16:creationId xmlns:a16="http://schemas.microsoft.com/office/drawing/2014/main" id="{487DF7AF-D742-7BBA-630B-94396676B88D}"/>
              </a:ext>
            </a:extLst>
          </xdr:cNvPr>
          <xdr:cNvSpPr/>
        </xdr:nvSpPr>
        <xdr:spPr>
          <a:xfrm>
            <a:off x="2513525" y="3000375"/>
            <a:ext cx="2933700" cy="1997869"/>
          </a:xfrm>
          <a:prstGeom prst="roundRect">
            <a:avLst>
              <a:gd name="adj" fmla="val 1235"/>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graphicFrame macro="">
        <xdr:nvGraphicFramePr>
          <xdr:cNvPr id="127" name="Chart 126">
            <a:extLst>
              <a:ext uri="{FF2B5EF4-FFF2-40B4-BE49-F238E27FC236}">
                <a16:creationId xmlns:a16="http://schemas.microsoft.com/office/drawing/2014/main" id="{E2635F99-42CD-4F8E-93F6-2786249039F6}"/>
              </a:ext>
            </a:extLst>
          </xdr:cNvPr>
          <xdr:cNvGraphicFramePr>
            <a:graphicFrameLocks/>
          </xdr:cNvGraphicFramePr>
        </xdr:nvGraphicFramePr>
        <xdr:xfrm>
          <a:off x="2500311" y="3000375"/>
          <a:ext cx="2988469" cy="2024062"/>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8" name="Rectangle: Rounded Corners 127">
            <a:extLst>
              <a:ext uri="{FF2B5EF4-FFF2-40B4-BE49-F238E27FC236}">
                <a16:creationId xmlns:a16="http://schemas.microsoft.com/office/drawing/2014/main" id="{4C158416-F10A-176A-A0D3-1B970903CA09}"/>
              </a:ext>
            </a:extLst>
          </xdr:cNvPr>
          <xdr:cNvSpPr/>
        </xdr:nvSpPr>
        <xdr:spPr>
          <a:xfrm>
            <a:off x="202407" y="972774"/>
            <a:ext cx="2238374" cy="1845469"/>
          </a:xfrm>
          <a:prstGeom prst="roundRect">
            <a:avLst>
              <a:gd name="adj" fmla="val 1235"/>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A" sz="1100"/>
          </a:p>
        </xdr:txBody>
      </xdr:sp>
      <xdr:graphicFrame macro="">
        <xdr:nvGraphicFramePr>
          <xdr:cNvPr id="130" name="Chart 129">
            <a:extLst>
              <a:ext uri="{FF2B5EF4-FFF2-40B4-BE49-F238E27FC236}">
                <a16:creationId xmlns:a16="http://schemas.microsoft.com/office/drawing/2014/main" id="{C4ECE73F-0F8F-439B-9B3A-1C24D3F2CBC1}"/>
              </a:ext>
            </a:extLst>
          </xdr:cNvPr>
          <xdr:cNvGraphicFramePr>
            <a:graphicFrameLocks/>
          </xdr:cNvGraphicFramePr>
        </xdr:nvGraphicFramePr>
        <xdr:xfrm>
          <a:off x="178592" y="988218"/>
          <a:ext cx="2286001" cy="186928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31" name="Chart 130">
            <a:extLst>
              <a:ext uri="{FF2B5EF4-FFF2-40B4-BE49-F238E27FC236}">
                <a16:creationId xmlns:a16="http://schemas.microsoft.com/office/drawing/2014/main" id="{EB39857D-ABB3-498C-8189-1FED2DF3B4A1}"/>
              </a:ext>
            </a:extLst>
          </xdr:cNvPr>
          <xdr:cNvGraphicFramePr>
            <a:graphicFrameLocks/>
          </xdr:cNvGraphicFramePr>
        </xdr:nvGraphicFramePr>
        <xdr:xfrm>
          <a:off x="2512218" y="940593"/>
          <a:ext cx="2964656" cy="1905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32" name="Chart 131">
            <a:extLst>
              <a:ext uri="{FF2B5EF4-FFF2-40B4-BE49-F238E27FC236}">
                <a16:creationId xmlns:a16="http://schemas.microsoft.com/office/drawing/2014/main" id="{7B5390C3-C07E-4E0A-84CB-C3DB77FF0029}"/>
              </a:ext>
            </a:extLst>
          </xdr:cNvPr>
          <xdr:cNvGraphicFramePr>
            <a:graphicFrameLocks/>
          </xdr:cNvGraphicFramePr>
        </xdr:nvGraphicFramePr>
        <xdr:xfrm>
          <a:off x="194895" y="2988469"/>
          <a:ext cx="2186355" cy="198834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14</xdr:col>
      <xdr:colOff>290853</xdr:colOff>
      <xdr:row>3</xdr:row>
      <xdr:rowOff>0</xdr:rowOff>
    </xdr:from>
    <xdr:to>
      <xdr:col>19</xdr:col>
      <xdr:colOff>0</xdr:colOff>
      <xdr:row>5</xdr:row>
      <xdr:rowOff>68036</xdr:rowOff>
    </xdr:to>
    <mc:AlternateContent xmlns:mc="http://schemas.openxmlformats.org/markup-compatibility/2006" xmlns:a14="http://schemas.microsoft.com/office/drawing/2010/main">
      <mc:Choice Requires="a14">
        <xdr:graphicFrame macro="">
          <xdr:nvGraphicFramePr>
            <xdr:cNvPr id="134" name="category Cleaned 1">
              <a:extLst>
                <a:ext uri="{FF2B5EF4-FFF2-40B4-BE49-F238E27FC236}">
                  <a16:creationId xmlns:a16="http://schemas.microsoft.com/office/drawing/2014/main" id="{DCC9DC01-8CBD-4882-9DFE-6FBDA84FFD5F}"/>
                </a:ext>
              </a:extLst>
            </xdr:cNvPr>
            <xdr:cNvGraphicFramePr/>
          </xdr:nvGraphicFramePr>
          <xdr:xfrm>
            <a:off x="0" y="0"/>
            <a:ext cx="0" cy="0"/>
          </xdr:xfrm>
          <a:graphic>
            <a:graphicData uri="http://schemas.microsoft.com/office/drawing/2010/slicer">
              <sle:slicer xmlns:sle="http://schemas.microsoft.com/office/drawing/2010/slicer" name="category Cleaned 1"/>
            </a:graphicData>
          </a:graphic>
        </xdr:graphicFrame>
      </mc:Choice>
      <mc:Fallback xmlns="">
        <xdr:sp macro="" textlink="">
          <xdr:nvSpPr>
            <xdr:cNvPr id="0" name=""/>
            <xdr:cNvSpPr>
              <a:spLocks noTextEdit="1"/>
            </xdr:cNvSpPr>
          </xdr:nvSpPr>
          <xdr:spPr>
            <a:xfrm>
              <a:off x="8264639" y="571500"/>
              <a:ext cx="2770754" cy="449036"/>
            </a:xfrm>
            <a:prstGeom prst="rect">
              <a:avLst/>
            </a:prstGeom>
            <a:solidFill>
              <a:prstClr val="white"/>
            </a:solidFill>
            <a:ln w="1">
              <a:solidFill>
                <a:prstClr val="green"/>
              </a:solidFill>
            </a:ln>
          </xdr:spPr>
          <xdr:txBody>
            <a:bodyPr vertOverflow="clip" horzOverflow="clip"/>
            <a:lstStyle/>
            <a:p>
              <a:r>
                <a:rPr lang="en-N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3.540497685186" createdVersion="8" refreshedVersion="8" minRefreshableVersion="3" recordCount="500" xr:uid="{763C190D-1405-441B-AD49-6B5158D8BB0D}">
  <cacheSource type="worksheet">
    <worksheetSource name="Shoe_Sales_1"/>
  </cacheSource>
  <cacheFields count="19">
    <cacheField name="Date" numFmtId="22">
      <sharedItems containsSemiMixedTypes="0" containsNonDate="0" containsDate="1" containsString="0" minDate="2026-01-01T00:00:00" maxDate="2026-08-15T00:00:00" count="203">
        <d v="2026-05-19T00:00:00"/>
        <d v="2026-06-26T00:00:00"/>
        <d v="2026-05-30T00:00:00"/>
        <d v="2026-07-11T00:00:00"/>
        <d v="2026-04-18T00:00:00"/>
        <d v="2026-03-12T00:00:00"/>
        <d v="2026-06-18T00:00:00"/>
        <d v="2026-07-09T00:00:00"/>
        <d v="2026-01-16T00:00:00"/>
        <d v="2026-06-09T00:00:00"/>
        <d v="2026-04-20T00:00:00"/>
        <d v="2026-03-16T00:00:00"/>
        <d v="2026-05-04T00:00:00"/>
        <d v="2026-01-09T00:00:00"/>
        <d v="2026-07-23T00:00:00"/>
        <d v="2026-04-13T00:00:00"/>
        <d v="2026-05-20T00:00:00"/>
        <d v="2026-03-31T00:00:00"/>
        <d v="2026-05-05T00:00:00"/>
        <d v="2026-08-07T00:00:00"/>
        <d v="2026-07-14T00:00:00"/>
        <d v="2026-01-12T00:00:00"/>
        <d v="2026-01-28T00:00:00"/>
        <d v="2026-01-13T00:00:00"/>
        <d v="2026-03-13T00:00:00"/>
        <d v="2026-03-10T00:00:00"/>
        <d v="2026-04-30T00:00:00"/>
        <d v="2026-02-15T00:00:00"/>
        <d v="2026-07-16T00:00:00"/>
        <d v="2026-06-12T00:00:00"/>
        <d v="2026-08-02T00:00:00"/>
        <d v="2026-03-30T00:00:00"/>
        <d v="2026-07-25T00:00:00"/>
        <d v="2026-06-03T00:00:00"/>
        <d v="2026-03-09T00:00:00"/>
        <d v="2026-02-19T00:00:00"/>
        <d v="2026-07-17T00:00:00"/>
        <d v="2026-04-15T00:00:00"/>
        <d v="2026-04-19T00:00:00"/>
        <d v="2026-05-23T00:00:00"/>
        <d v="2026-08-03T00:00:00"/>
        <d v="2026-03-05T00:00:00"/>
        <d v="2026-03-29T00:00:00"/>
        <d v="2026-06-27T00:00:00"/>
        <d v="2026-08-06T00:00:00"/>
        <d v="2026-01-29T00:00:00"/>
        <d v="2026-02-16T00:00:00"/>
        <d v="2026-03-28T00:00:00"/>
        <d v="2026-04-02T00:00:00"/>
        <d v="2026-06-02T00:00:00"/>
        <d v="2026-01-23T00:00:00"/>
        <d v="2026-07-27T00:00:00"/>
        <d v="2026-06-23T00:00:00"/>
        <d v="2026-04-09T00:00:00"/>
        <d v="2026-06-21T00:00:00"/>
        <d v="2026-02-28T00:00:00"/>
        <d v="2026-06-24T00:00:00"/>
        <d v="2026-04-12T00:00:00"/>
        <d v="2026-01-06T00:00:00"/>
        <d v="2026-06-06T00:00:00"/>
        <d v="2026-03-04T00:00:00"/>
        <d v="2026-07-10T00:00:00"/>
        <d v="2026-03-08T00:00:00"/>
        <d v="2026-06-01T00:00:00"/>
        <d v="2026-02-24T00:00:00"/>
        <d v="2026-05-06T00:00:00"/>
        <d v="2026-02-05T00:00:00"/>
        <d v="2026-03-03T00:00:00"/>
        <d v="2026-04-21T00:00:00"/>
        <d v="2026-04-05T00:00:00"/>
        <d v="2026-01-19T00:00:00"/>
        <d v="2026-06-14T00:00:00"/>
        <d v="2026-05-02T00:00:00"/>
        <d v="2026-02-04T00:00:00"/>
        <d v="2026-02-14T00:00:00"/>
        <d v="2026-03-18T00:00:00"/>
        <d v="2026-07-01T00:00:00"/>
        <d v="2026-08-12T00:00:00"/>
        <d v="2026-01-11T00:00:00"/>
        <d v="2026-06-30T00:00:00"/>
        <d v="2026-01-22T00:00:00"/>
        <d v="2026-07-20T00:00:00"/>
        <d v="2026-04-06T00:00:00"/>
        <d v="2026-03-20T00:00:00"/>
        <d v="2026-07-13T00:00:00"/>
        <d v="2026-01-18T00:00:00"/>
        <d v="2026-02-21T00:00:00"/>
        <d v="2026-06-20T00:00:00"/>
        <d v="2026-04-25T00:00:00"/>
        <d v="2026-05-12T00:00:00"/>
        <d v="2026-02-22T00:00:00"/>
        <d v="2026-08-14T00:00:00"/>
        <d v="2026-01-27T00:00:00"/>
        <d v="2026-06-17T00:00:00"/>
        <d v="2026-07-02T00:00:00"/>
        <d v="2026-02-03T00:00:00"/>
        <d v="2026-07-19T00:00:00"/>
        <d v="2026-07-07T00:00:00"/>
        <d v="2026-02-12T00:00:00"/>
        <d v="2026-01-03T00:00:00"/>
        <d v="2026-05-21T00:00:00"/>
        <d v="2026-07-30T00:00:00"/>
        <d v="2026-05-31T00:00:00"/>
        <d v="2026-05-14T00:00:00"/>
        <d v="2026-08-10T00:00:00"/>
        <d v="2026-07-26T00:00:00"/>
        <d v="2026-02-07T00:00:00"/>
        <d v="2026-05-24T00:00:00"/>
        <d v="2026-03-11T00:00:00"/>
        <d v="2026-01-02T00:00:00"/>
        <d v="2026-03-25T00:00:00"/>
        <d v="2026-07-15T00:00:00"/>
        <d v="2026-04-28T00:00:00"/>
        <d v="2026-06-25T00:00:00"/>
        <d v="2026-04-08T00:00:00"/>
        <d v="2026-04-11T00:00:00"/>
        <d v="2026-01-04T00:00:00"/>
        <d v="2026-05-11T00:00:00"/>
        <d v="2026-07-08T00:00:00"/>
        <d v="2026-08-05T00:00:00"/>
        <d v="2026-01-17T00:00:00"/>
        <d v="2026-03-24T00:00:00"/>
        <d v="2026-07-18T00:00:00"/>
        <d v="2026-02-01T00:00:00"/>
        <d v="2026-01-25T00:00:00"/>
        <d v="2026-03-27T00:00:00"/>
        <d v="2026-01-24T00:00:00"/>
        <d v="2026-04-07T00:00:00"/>
        <d v="2026-05-08T00:00:00"/>
        <d v="2026-06-08T00:00:00"/>
        <d v="2026-02-08T00:00:00"/>
        <d v="2026-02-27T00:00:00"/>
        <d v="2026-05-09T00:00:00"/>
        <d v="2026-03-02T00:00:00"/>
        <d v="2026-08-11T00:00:00"/>
        <d v="2026-01-30T00:00:00"/>
        <d v="2026-04-29T00:00:00"/>
        <d v="2026-01-15T00:00:00"/>
        <d v="2026-05-15T00:00:00"/>
        <d v="2026-01-01T00:00:00"/>
        <d v="2026-05-29T00:00:00"/>
        <d v="2026-02-13T00:00:00"/>
        <d v="2026-07-21T00:00:00"/>
        <d v="2026-04-10T00:00:00"/>
        <d v="2026-06-07T00:00:00"/>
        <d v="2026-05-25T00:00:00"/>
        <d v="2026-05-10T00:00:00"/>
        <d v="2026-02-18T00:00:00"/>
        <d v="2026-04-14T00:00:00"/>
        <d v="2026-01-31T00:00:00"/>
        <d v="2026-03-17T00:00:00"/>
        <d v="2026-06-16T00:00:00"/>
        <d v="2026-07-24T00:00:00"/>
        <d v="2026-05-27T00:00:00"/>
        <d v="2026-08-01T00:00:00"/>
        <d v="2026-06-05T00:00:00"/>
        <d v="2026-07-05T00:00:00"/>
        <d v="2026-05-26T00:00:00"/>
        <d v="2026-02-06T00:00:00"/>
        <d v="2026-03-07T00:00:00"/>
        <d v="2026-01-10T00:00:00"/>
        <d v="2026-04-26T00:00:00"/>
        <d v="2026-02-20T00:00:00"/>
        <d v="2026-02-23T00:00:00"/>
        <d v="2026-06-04T00:00:00"/>
        <d v="2026-05-07T00:00:00"/>
        <d v="2026-02-17T00:00:00"/>
        <d v="2026-03-22T00:00:00"/>
        <d v="2026-06-19T00:00:00"/>
        <d v="2026-03-15T00:00:00"/>
        <d v="2026-06-15T00:00:00"/>
        <d v="2026-04-16T00:00:00"/>
        <d v="2026-01-20T00:00:00"/>
        <d v="2026-01-08T00:00:00"/>
        <d v="2026-02-25T00:00:00"/>
        <d v="2026-06-10T00:00:00"/>
        <d v="2026-06-28T00:00:00"/>
        <d v="2026-04-17T00:00:00"/>
        <d v="2026-08-08T00:00:00"/>
        <d v="2026-05-17T00:00:00"/>
        <d v="2026-07-28T00:00:00"/>
        <d v="2026-03-06T00:00:00"/>
        <d v="2026-05-28T00:00:00"/>
        <d v="2026-02-09T00:00:00"/>
        <d v="2026-01-21T00:00:00"/>
        <d v="2026-03-26T00:00:00"/>
        <d v="2026-01-07T00:00:00"/>
        <d v="2026-04-22T00:00:00"/>
        <d v="2026-05-13T00:00:00"/>
        <d v="2026-06-29T00:00:00"/>
        <d v="2026-07-06T00:00:00"/>
        <d v="2026-08-13T00:00:00"/>
        <d v="2026-07-04T00:00:00"/>
        <d v="2026-07-12T00:00:00"/>
        <d v="2026-08-04T00:00:00"/>
        <d v="2026-05-18T00:00:00"/>
        <d v="2026-01-26T00:00:00"/>
        <d v="2026-07-31T00:00:00"/>
        <d v="2026-05-03T00:00:00"/>
        <d v="2026-03-14T00:00:00"/>
        <d v="2026-02-11T00:00:00"/>
        <d v="2026-02-26T00:00:00"/>
        <d v="2026-06-11T00:00:00"/>
      </sharedItems>
      <fieldGroup par="18"/>
    </cacheField>
    <cacheField name="Product" numFmtId="0">
      <sharedItems/>
    </cacheField>
    <cacheField name="Product Cleaned" numFmtId="0">
      <sharedItems count="8">
        <s v="Monk Straps"/>
        <s v="Loafers"/>
        <s v="Derby"/>
        <s v="Boots"/>
        <s v="Canvas"/>
        <s v="Oxford"/>
        <s v="Brogues"/>
        <s v="Slippers"/>
      </sharedItems>
    </cacheField>
    <cacheField name="Category" numFmtId="0">
      <sharedItems/>
    </cacheField>
    <cacheField name="category Cleaned" numFmtId="0">
      <sharedItems count="4">
        <s v="Formal"/>
        <s v="Utility"/>
        <s v="Casual"/>
        <s v="Open"/>
      </sharedItems>
    </cacheField>
    <cacheField name="Color" numFmtId="0">
      <sharedItems/>
    </cacheField>
    <cacheField name="Brand" numFmtId="0">
      <sharedItems count="5">
        <s v="Nike"/>
        <s v="clarks"/>
        <s v="timberland"/>
        <s v="ZARA"/>
        <s v="Steve Madden"/>
      </sharedItems>
    </cacheField>
    <cacheField name="Brand Cleaned" numFmtId="0">
      <sharedItems count="5">
        <s v="Nike"/>
        <s v="Clarks"/>
        <s v="Timberland"/>
        <s v="Zara"/>
        <s v="Steve Madden"/>
      </sharedItems>
    </cacheField>
    <cacheField name="Country" numFmtId="0">
      <sharedItems count="14">
        <s v="Uganda"/>
        <s v="Nigeria"/>
        <s v="Canada"/>
        <s v="UK"/>
        <s v="Ghana"/>
        <s v="USA"/>
        <s v="Australia"/>
        <s v="Cyprus"/>
        <s v="India"/>
        <s v="Germany"/>
        <s v="Philippines"/>
        <s v="Zimbabwe"/>
        <s v="Albania"/>
        <s v="Kenya"/>
      </sharedItems>
    </cacheField>
    <cacheField name="Quantity" numFmtId="0">
      <sharedItems containsSemiMixedTypes="0" containsString="0" containsNumber="1" containsInteger="1" minValue="1" maxValue="15"/>
    </cacheField>
    <cacheField name="Payment Type" numFmtId="0">
      <sharedItems count="4">
        <s v="Bank Transfer"/>
        <s v="Card"/>
        <s v="Cash"/>
        <s v="Mobile Money"/>
      </sharedItems>
    </cacheField>
    <cacheField name="Selling Price" numFmtId="0">
      <sharedItems containsSemiMixedTypes="0" containsString="0" containsNumber="1" containsInteger="1" minValue="32" maxValue="128"/>
    </cacheField>
    <cacheField name="Cost Price" numFmtId="0">
      <sharedItems containsSemiMixedTypes="0" containsString="0" containsNumber="1" containsInteger="1" minValue="14" maxValue="72"/>
    </cacheField>
    <cacheField name="Revenue" numFmtId="0">
      <sharedItems containsSemiMixedTypes="0" containsString="0" containsNumber="1" containsInteger="1" minValue="32" maxValue="1920"/>
    </cacheField>
    <cacheField name="Cost" numFmtId="0">
      <sharedItems containsSemiMixedTypes="0" containsString="0" containsNumber="1" containsInteger="1" minValue="14" maxValue="1080"/>
    </cacheField>
    <cacheField name="Profit" numFmtId="0">
      <sharedItems containsSemiMixedTypes="0" containsString="0" containsNumber="1" containsInteger="1" minValue="18" maxValue="840"/>
    </cacheField>
    <cacheField name="Profit Margin" numFmtId="0">
      <sharedItems containsSemiMixedTypes="0" containsString="0" containsNumber="1" minValue="0.42857142857142899" maxValue="0.5625"/>
    </cacheField>
    <cacheField name="Days (Date)" numFmtId="0" databaseField="0">
      <fieldGroup base="0">
        <rangePr groupBy="days" startDate="2026-01-01T00:00:00" endDate="2026-08-15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8/2026"/>
        </groupItems>
      </fieldGroup>
    </cacheField>
    <cacheField name="Months (Date)" numFmtId="0" databaseField="0">
      <fieldGroup base="0">
        <rangePr groupBy="months" startDate="2026-01-01T00:00:00" endDate="2026-08-15T00:00:00"/>
        <groupItems count="14">
          <s v="&lt;01/01/2026"/>
          <s v="Jan"/>
          <s v="Feb"/>
          <s v="Mar"/>
          <s v="Apr"/>
          <s v="May"/>
          <s v="Jun"/>
          <s v="Jul"/>
          <s v="Aug"/>
          <s v="Sep"/>
          <s v="Oct"/>
          <s v="Nov"/>
          <s v="Dec"/>
          <s v="&gt;15/08/2026"/>
        </groupItems>
      </fieldGroup>
    </cacheField>
  </cacheFields>
  <extLst>
    <ext xmlns:x14="http://schemas.microsoft.com/office/spreadsheetml/2009/9/main" uri="{725AE2AE-9491-48be-B2B4-4EB974FC3084}">
      <x14:pivotCacheDefinition pivotCacheId="1561361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monk straps"/>
    <x v="0"/>
    <s v="Formal"/>
    <x v="0"/>
    <s v="Red"/>
    <x v="0"/>
    <x v="0"/>
    <x v="0"/>
    <n v="7"/>
    <x v="0"/>
    <n v="89"/>
    <n v="47"/>
    <n v="623"/>
    <n v="329"/>
    <n v="294"/>
    <n v="0.47191011235955099"/>
  </r>
  <r>
    <x v="1"/>
    <s v="loafers"/>
    <x v="1"/>
    <s v="Formal"/>
    <x v="0"/>
    <s v="Black"/>
    <x v="0"/>
    <x v="0"/>
    <x v="0"/>
    <n v="1"/>
    <x v="1"/>
    <n v="54"/>
    <n v="28"/>
    <n v="54"/>
    <n v="28"/>
    <n v="26"/>
    <n v="0.48148148148148101"/>
  </r>
  <r>
    <x v="2"/>
    <s v="Derby"/>
    <x v="2"/>
    <s v="Formal"/>
    <x v="0"/>
    <s v="Green"/>
    <x v="1"/>
    <x v="1"/>
    <x v="1"/>
    <n v="7"/>
    <x v="0"/>
    <n v="32"/>
    <n v="14"/>
    <n v="224"/>
    <n v="98"/>
    <n v="126"/>
    <n v="0.5625"/>
  </r>
  <r>
    <x v="3"/>
    <s v="boots"/>
    <x v="3"/>
    <s v="UTILITY"/>
    <x v="1"/>
    <s v="Black"/>
    <x v="0"/>
    <x v="0"/>
    <x v="2"/>
    <n v="6"/>
    <x v="0"/>
    <n v="76"/>
    <n v="39"/>
    <n v="456"/>
    <n v="234"/>
    <n v="222"/>
    <n v="0.48684210526315802"/>
  </r>
  <r>
    <x v="4"/>
    <s v="boots"/>
    <x v="3"/>
    <s v="casual"/>
    <x v="2"/>
    <s v="Red"/>
    <x v="1"/>
    <x v="1"/>
    <x v="3"/>
    <n v="6"/>
    <x v="0"/>
    <n v="76"/>
    <n v="39"/>
    <n v="456"/>
    <n v="234"/>
    <n v="222"/>
    <n v="0.48684210526315802"/>
  </r>
  <r>
    <x v="5"/>
    <s v="Canvas"/>
    <x v="4"/>
    <s v="UTILITY"/>
    <x v="1"/>
    <s v="Blue"/>
    <x v="0"/>
    <x v="0"/>
    <x v="4"/>
    <n v="6"/>
    <x v="1"/>
    <n v="128"/>
    <n v="72"/>
    <n v="768"/>
    <n v="432"/>
    <n v="336"/>
    <n v="0.4375"/>
  </r>
  <r>
    <x v="6"/>
    <s v="Canvas"/>
    <x v="4"/>
    <s v="Formal"/>
    <x v="0"/>
    <s v="Green"/>
    <x v="1"/>
    <x v="1"/>
    <x v="5"/>
    <n v="13"/>
    <x v="2"/>
    <n v="128"/>
    <n v="72"/>
    <n v="1664"/>
    <n v="936"/>
    <n v="728"/>
    <n v="0.4375"/>
  </r>
  <r>
    <x v="7"/>
    <s v="monk straps "/>
    <x v="0"/>
    <s v="Formal"/>
    <x v="0"/>
    <s v="Brown"/>
    <x v="2"/>
    <x v="2"/>
    <x v="5"/>
    <n v="12"/>
    <x v="2"/>
    <n v="89"/>
    <n v="47"/>
    <n v="1068"/>
    <n v="564"/>
    <n v="504"/>
    <n v="0.47191011235955099"/>
  </r>
  <r>
    <x v="8"/>
    <s v="Derby"/>
    <x v="2"/>
    <s v="Formal"/>
    <x v="0"/>
    <s v="Green"/>
    <x v="1"/>
    <x v="1"/>
    <x v="6"/>
    <n v="10"/>
    <x v="2"/>
    <n v="32"/>
    <n v="14"/>
    <n v="320"/>
    <n v="140"/>
    <n v="180"/>
    <n v="0.5625"/>
  </r>
  <r>
    <x v="9"/>
    <s v="OXFORD"/>
    <x v="5"/>
    <s v="Formal"/>
    <x v="0"/>
    <s v="Black"/>
    <x v="1"/>
    <x v="1"/>
    <x v="7"/>
    <n v="15"/>
    <x v="3"/>
    <n v="105"/>
    <n v="58"/>
    <n v="1575"/>
    <n v="870"/>
    <n v="705"/>
    <n v="0.44761904761904803"/>
  </r>
  <r>
    <x v="10"/>
    <s v="boots"/>
    <x v="3"/>
    <s v="Formal"/>
    <x v="0"/>
    <s v="Brown"/>
    <x v="1"/>
    <x v="1"/>
    <x v="8"/>
    <n v="8"/>
    <x v="0"/>
    <n v="76"/>
    <n v="39"/>
    <n v="608"/>
    <n v="312"/>
    <n v="296"/>
    <n v="0.48684210526315802"/>
  </r>
  <r>
    <x v="11"/>
    <s v="loafers"/>
    <x v="1"/>
    <s v="casual"/>
    <x v="2"/>
    <s v="Green"/>
    <x v="1"/>
    <x v="1"/>
    <x v="6"/>
    <n v="9"/>
    <x v="2"/>
    <n v="54"/>
    <n v="28"/>
    <n v="486"/>
    <n v="252"/>
    <n v="234"/>
    <n v="0.48148148148148101"/>
  </r>
  <r>
    <x v="12"/>
    <s v="BROGUES "/>
    <x v="6"/>
    <s v="UTILITY"/>
    <x v="1"/>
    <s v="Green"/>
    <x v="0"/>
    <x v="0"/>
    <x v="9"/>
    <n v="14"/>
    <x v="0"/>
    <n v="112"/>
    <n v="64"/>
    <n v="1568"/>
    <n v="896"/>
    <n v="672"/>
    <n v="0.42857142857142899"/>
  </r>
  <r>
    <x v="13"/>
    <s v="OXFORD"/>
    <x v="5"/>
    <s v="Formal"/>
    <x v="0"/>
    <s v="Green"/>
    <x v="2"/>
    <x v="2"/>
    <x v="1"/>
    <n v="4"/>
    <x v="1"/>
    <n v="105"/>
    <n v="58"/>
    <n v="420"/>
    <n v="232"/>
    <n v="188"/>
    <n v="0.44761904761904803"/>
  </r>
  <r>
    <x v="1"/>
    <s v="SLIPPERS"/>
    <x v="7"/>
    <s v="Formal"/>
    <x v="0"/>
    <s v="Red"/>
    <x v="3"/>
    <x v="3"/>
    <x v="0"/>
    <n v="6"/>
    <x v="1"/>
    <n v="119"/>
    <n v="67"/>
    <n v="714"/>
    <n v="402"/>
    <n v="312"/>
    <n v="0.436974789915966"/>
  </r>
  <r>
    <x v="14"/>
    <s v="Derby"/>
    <x v="2"/>
    <s v="casual"/>
    <x v="2"/>
    <s v="Green"/>
    <x v="3"/>
    <x v="3"/>
    <x v="10"/>
    <n v="10"/>
    <x v="2"/>
    <n v="32"/>
    <n v="14"/>
    <n v="320"/>
    <n v="140"/>
    <n v="180"/>
    <n v="0.5625"/>
  </r>
  <r>
    <x v="15"/>
    <s v="boots"/>
    <x v="3"/>
    <s v="OPEN"/>
    <x v="3"/>
    <s v="Red"/>
    <x v="4"/>
    <x v="4"/>
    <x v="1"/>
    <n v="7"/>
    <x v="0"/>
    <n v="76"/>
    <n v="39"/>
    <n v="532"/>
    <n v="273"/>
    <n v="259"/>
    <n v="0.48684210526315802"/>
  </r>
  <r>
    <x v="16"/>
    <s v="Derby"/>
    <x v="2"/>
    <s v="casual"/>
    <x v="2"/>
    <s v="Blue"/>
    <x v="1"/>
    <x v="1"/>
    <x v="3"/>
    <n v="7"/>
    <x v="3"/>
    <n v="32"/>
    <n v="14"/>
    <n v="224"/>
    <n v="98"/>
    <n v="126"/>
    <n v="0.5625"/>
  </r>
  <r>
    <x v="17"/>
    <s v="OXFORD"/>
    <x v="5"/>
    <s v="OPEN"/>
    <x v="3"/>
    <s v="Black"/>
    <x v="1"/>
    <x v="1"/>
    <x v="3"/>
    <n v="11"/>
    <x v="2"/>
    <n v="105"/>
    <n v="58"/>
    <n v="1155"/>
    <n v="638"/>
    <n v="517"/>
    <n v="0.44761904761904803"/>
  </r>
  <r>
    <x v="18"/>
    <s v="boots"/>
    <x v="3"/>
    <s v="UTILITY"/>
    <x v="1"/>
    <s v="Red"/>
    <x v="0"/>
    <x v="0"/>
    <x v="11"/>
    <n v="6"/>
    <x v="2"/>
    <n v="76"/>
    <n v="39"/>
    <n v="456"/>
    <n v="234"/>
    <n v="222"/>
    <n v="0.48684210526315802"/>
  </r>
  <r>
    <x v="19"/>
    <s v="monk straps"/>
    <x v="0"/>
    <s v="Formal"/>
    <x v="0"/>
    <s v="Red"/>
    <x v="1"/>
    <x v="1"/>
    <x v="9"/>
    <n v="8"/>
    <x v="1"/>
    <n v="89"/>
    <n v="47"/>
    <n v="712"/>
    <n v="376"/>
    <n v="336"/>
    <n v="0.47191011235955099"/>
  </r>
  <r>
    <x v="20"/>
    <s v="BROGUES"/>
    <x v="6"/>
    <s v="casual"/>
    <x v="2"/>
    <s v="Green"/>
    <x v="4"/>
    <x v="4"/>
    <x v="6"/>
    <n v="5"/>
    <x v="3"/>
    <n v="112"/>
    <n v="64"/>
    <n v="560"/>
    <n v="320"/>
    <n v="240"/>
    <n v="0.42857142857142899"/>
  </r>
  <r>
    <x v="21"/>
    <s v="OXFORD"/>
    <x v="5"/>
    <s v="Formal"/>
    <x v="0"/>
    <s v="Green"/>
    <x v="4"/>
    <x v="4"/>
    <x v="11"/>
    <n v="15"/>
    <x v="1"/>
    <n v="105"/>
    <n v="58"/>
    <n v="1575"/>
    <n v="870"/>
    <n v="705"/>
    <n v="0.44761904761904803"/>
  </r>
  <r>
    <x v="22"/>
    <s v="Canvas"/>
    <x v="4"/>
    <s v="Formal"/>
    <x v="0"/>
    <s v="Green"/>
    <x v="4"/>
    <x v="4"/>
    <x v="7"/>
    <n v="1"/>
    <x v="1"/>
    <n v="128"/>
    <n v="72"/>
    <n v="128"/>
    <n v="72"/>
    <n v="56"/>
    <n v="0.4375"/>
  </r>
  <r>
    <x v="23"/>
    <s v="boots"/>
    <x v="3"/>
    <s v="casual"/>
    <x v="2"/>
    <s v="Blue"/>
    <x v="1"/>
    <x v="1"/>
    <x v="4"/>
    <n v="12"/>
    <x v="2"/>
    <n v="76"/>
    <n v="39"/>
    <n v="912"/>
    <n v="468"/>
    <n v="444"/>
    <n v="0.48684210526315802"/>
  </r>
  <r>
    <x v="24"/>
    <s v="loafers"/>
    <x v="1"/>
    <s v="UTILITY"/>
    <x v="1"/>
    <s v="Green"/>
    <x v="4"/>
    <x v="4"/>
    <x v="8"/>
    <n v="9"/>
    <x v="3"/>
    <n v="54"/>
    <n v="28"/>
    <n v="486"/>
    <n v="252"/>
    <n v="234"/>
    <n v="0.48148148148148101"/>
  </r>
  <r>
    <x v="3"/>
    <s v="OXFORD"/>
    <x v="5"/>
    <s v="Formal"/>
    <x v="0"/>
    <s v="Green"/>
    <x v="1"/>
    <x v="1"/>
    <x v="4"/>
    <n v="5"/>
    <x v="3"/>
    <n v="105"/>
    <n v="58"/>
    <n v="525"/>
    <n v="290"/>
    <n v="235"/>
    <n v="0.44761904761904803"/>
  </r>
  <r>
    <x v="25"/>
    <s v="loafers"/>
    <x v="1"/>
    <s v="casual"/>
    <x v="2"/>
    <s v="Green"/>
    <x v="1"/>
    <x v="1"/>
    <x v="11"/>
    <n v="8"/>
    <x v="0"/>
    <n v="54"/>
    <n v="28"/>
    <n v="432"/>
    <n v="224"/>
    <n v="208"/>
    <n v="0.48148148148148101"/>
  </r>
  <r>
    <x v="26"/>
    <s v="OXFORD"/>
    <x v="5"/>
    <s v="Formal"/>
    <x v="0"/>
    <s v="Red"/>
    <x v="3"/>
    <x v="3"/>
    <x v="1"/>
    <n v="2"/>
    <x v="0"/>
    <n v="105"/>
    <n v="58"/>
    <n v="210"/>
    <n v="116"/>
    <n v="94"/>
    <n v="0.44761904761904803"/>
  </r>
  <r>
    <x v="27"/>
    <s v="monk straps"/>
    <x v="0"/>
    <s v="Formal"/>
    <x v="0"/>
    <s v="Blue"/>
    <x v="3"/>
    <x v="3"/>
    <x v="12"/>
    <n v="7"/>
    <x v="2"/>
    <n v="89"/>
    <n v="47"/>
    <n v="623"/>
    <n v="329"/>
    <n v="294"/>
    <n v="0.47191011235955099"/>
  </r>
  <r>
    <x v="28"/>
    <s v="BROGUES"/>
    <x v="6"/>
    <s v="Formal"/>
    <x v="0"/>
    <s v="Red"/>
    <x v="4"/>
    <x v="4"/>
    <x v="9"/>
    <n v="12"/>
    <x v="3"/>
    <n v="112"/>
    <n v="64"/>
    <n v="1344"/>
    <n v="768"/>
    <n v="576"/>
    <n v="0.42857142857142899"/>
  </r>
  <r>
    <x v="29"/>
    <s v="Canvas "/>
    <x v="4"/>
    <s v="Formal"/>
    <x v="0"/>
    <s v="Blue"/>
    <x v="1"/>
    <x v="1"/>
    <x v="11"/>
    <n v="15"/>
    <x v="1"/>
    <n v="128"/>
    <n v="72"/>
    <n v="1920"/>
    <n v="1080"/>
    <n v="840"/>
    <n v="0.4375"/>
  </r>
  <r>
    <x v="30"/>
    <s v="boots"/>
    <x v="3"/>
    <s v="Formal"/>
    <x v="0"/>
    <s v="Red"/>
    <x v="3"/>
    <x v="3"/>
    <x v="0"/>
    <n v="7"/>
    <x v="3"/>
    <n v="76"/>
    <n v="39"/>
    <n v="532"/>
    <n v="273"/>
    <n v="259"/>
    <n v="0.48684210526315802"/>
  </r>
  <r>
    <x v="31"/>
    <s v="BROGUES"/>
    <x v="6"/>
    <s v="Formal"/>
    <x v="0"/>
    <s v="Black"/>
    <x v="0"/>
    <x v="0"/>
    <x v="7"/>
    <n v="10"/>
    <x v="0"/>
    <n v="112"/>
    <n v="64"/>
    <n v="1120"/>
    <n v="640"/>
    <n v="480"/>
    <n v="0.42857142857142899"/>
  </r>
  <r>
    <x v="10"/>
    <s v="monk straps"/>
    <x v="0"/>
    <s v="OPEN"/>
    <x v="3"/>
    <s v="Green"/>
    <x v="0"/>
    <x v="0"/>
    <x v="10"/>
    <n v="7"/>
    <x v="0"/>
    <n v="89"/>
    <n v="47"/>
    <n v="623"/>
    <n v="329"/>
    <n v="294"/>
    <n v="0.47191011235955099"/>
  </r>
  <r>
    <x v="32"/>
    <s v="boots"/>
    <x v="3"/>
    <s v="Formal"/>
    <x v="0"/>
    <s v="Red"/>
    <x v="2"/>
    <x v="2"/>
    <x v="2"/>
    <n v="5"/>
    <x v="1"/>
    <n v="76"/>
    <n v="39"/>
    <n v="380"/>
    <n v="195"/>
    <n v="185"/>
    <n v="0.48684210526315802"/>
  </r>
  <r>
    <x v="33"/>
    <s v="boots"/>
    <x v="3"/>
    <s v="Formal"/>
    <x v="0"/>
    <s v="Red"/>
    <x v="1"/>
    <x v="1"/>
    <x v="8"/>
    <n v="11"/>
    <x v="0"/>
    <n v="76"/>
    <n v="39"/>
    <n v="836"/>
    <n v="429"/>
    <n v="407"/>
    <n v="0.48684210526315802"/>
  </r>
  <r>
    <x v="14"/>
    <s v="SLIPPERS"/>
    <x v="7"/>
    <s v="casual"/>
    <x v="2"/>
    <s v="Red"/>
    <x v="3"/>
    <x v="3"/>
    <x v="11"/>
    <n v="10"/>
    <x v="0"/>
    <n v="119"/>
    <n v="67"/>
    <n v="1190"/>
    <n v="670"/>
    <n v="520"/>
    <n v="0.436974789915966"/>
  </r>
  <r>
    <x v="32"/>
    <s v="loafers"/>
    <x v="1"/>
    <s v="OPEN"/>
    <x v="3"/>
    <s v="Green"/>
    <x v="1"/>
    <x v="1"/>
    <x v="5"/>
    <n v="10"/>
    <x v="3"/>
    <n v="54"/>
    <n v="28"/>
    <n v="540"/>
    <n v="280"/>
    <n v="260"/>
    <n v="0.48148148148148101"/>
  </r>
  <r>
    <x v="33"/>
    <s v="OXFORD"/>
    <x v="5"/>
    <s v="Formal"/>
    <x v="0"/>
    <s v="Red"/>
    <x v="4"/>
    <x v="4"/>
    <x v="9"/>
    <n v="13"/>
    <x v="0"/>
    <n v="105"/>
    <n v="58"/>
    <n v="1365"/>
    <n v="754"/>
    <n v="611"/>
    <n v="0.44761904761904803"/>
  </r>
  <r>
    <x v="34"/>
    <s v="BROGUES"/>
    <x v="6"/>
    <s v="Formal"/>
    <x v="0"/>
    <s v="Blue"/>
    <x v="1"/>
    <x v="1"/>
    <x v="5"/>
    <n v="7"/>
    <x v="2"/>
    <n v="112"/>
    <n v="64"/>
    <n v="784"/>
    <n v="448"/>
    <n v="336"/>
    <n v="0.42857142857142899"/>
  </r>
  <r>
    <x v="35"/>
    <s v="boots"/>
    <x v="3"/>
    <s v="OPEN"/>
    <x v="3"/>
    <s v="Green"/>
    <x v="0"/>
    <x v="0"/>
    <x v="1"/>
    <n v="14"/>
    <x v="2"/>
    <n v="76"/>
    <n v="39"/>
    <n v="1064"/>
    <n v="546"/>
    <n v="518"/>
    <n v="0.48684210526315802"/>
  </r>
  <r>
    <x v="36"/>
    <s v="OXFORD"/>
    <x v="5"/>
    <s v="OPEN"/>
    <x v="3"/>
    <s v="Green"/>
    <x v="1"/>
    <x v="1"/>
    <x v="4"/>
    <n v="13"/>
    <x v="3"/>
    <n v="105"/>
    <n v="58"/>
    <n v="1365"/>
    <n v="754"/>
    <n v="611"/>
    <n v="0.44761904761904803"/>
  </r>
  <r>
    <x v="37"/>
    <s v="loafers"/>
    <x v="1"/>
    <s v="OPEN"/>
    <x v="3"/>
    <s v="Red"/>
    <x v="0"/>
    <x v="0"/>
    <x v="10"/>
    <n v="3"/>
    <x v="1"/>
    <n v="54"/>
    <n v="28"/>
    <n v="162"/>
    <n v="84"/>
    <n v="78"/>
    <n v="0.48148148148148101"/>
  </r>
  <r>
    <x v="38"/>
    <s v="boots"/>
    <x v="3"/>
    <s v="Formal"/>
    <x v="0"/>
    <s v="Green"/>
    <x v="4"/>
    <x v="4"/>
    <x v="3"/>
    <n v="1"/>
    <x v="0"/>
    <n v="76"/>
    <n v="39"/>
    <n v="76"/>
    <n v="39"/>
    <n v="37"/>
    <n v="0.48684210526315802"/>
  </r>
  <r>
    <x v="39"/>
    <s v="BROGUES"/>
    <x v="6"/>
    <s v="Formal"/>
    <x v="0"/>
    <s v="Red"/>
    <x v="1"/>
    <x v="1"/>
    <x v="9"/>
    <n v="9"/>
    <x v="3"/>
    <n v="112"/>
    <n v="64"/>
    <n v="1008"/>
    <n v="576"/>
    <n v="432"/>
    <n v="0.42857142857142899"/>
  </r>
  <r>
    <x v="40"/>
    <s v="boots"/>
    <x v="3"/>
    <s v="Formal"/>
    <x v="0"/>
    <s v="Green"/>
    <x v="3"/>
    <x v="3"/>
    <x v="12"/>
    <n v="5"/>
    <x v="3"/>
    <n v="76"/>
    <n v="39"/>
    <n v="380"/>
    <n v="195"/>
    <n v="185"/>
    <n v="0.48684210526315802"/>
  </r>
  <r>
    <x v="41"/>
    <s v="OXFORD"/>
    <x v="5"/>
    <s v="casual"/>
    <x v="2"/>
    <s v="Black"/>
    <x v="0"/>
    <x v="0"/>
    <x v="5"/>
    <n v="11"/>
    <x v="3"/>
    <n v="105"/>
    <n v="58"/>
    <n v="1155"/>
    <n v="638"/>
    <n v="517"/>
    <n v="0.44761904761904803"/>
  </r>
  <r>
    <x v="42"/>
    <s v="loafers"/>
    <x v="1"/>
    <s v="Formal"/>
    <x v="0"/>
    <s v="Black"/>
    <x v="3"/>
    <x v="3"/>
    <x v="5"/>
    <n v="6"/>
    <x v="1"/>
    <n v="54"/>
    <n v="28"/>
    <n v="324"/>
    <n v="168"/>
    <n v="156"/>
    <n v="0.48148148148148101"/>
  </r>
  <r>
    <x v="43"/>
    <s v="boots"/>
    <x v="3"/>
    <s v="UTILITY"/>
    <x v="1"/>
    <s v="Blue"/>
    <x v="3"/>
    <x v="3"/>
    <x v="13"/>
    <n v="1"/>
    <x v="3"/>
    <n v="76"/>
    <n v="39"/>
    <n v="76"/>
    <n v="39"/>
    <n v="37"/>
    <n v="0.48684210526315802"/>
  </r>
  <r>
    <x v="44"/>
    <s v="Canvas "/>
    <x v="4"/>
    <s v="casual"/>
    <x v="2"/>
    <s v="Red"/>
    <x v="1"/>
    <x v="1"/>
    <x v="12"/>
    <n v="4"/>
    <x v="0"/>
    <n v="128"/>
    <n v="72"/>
    <n v="512"/>
    <n v="288"/>
    <n v="224"/>
    <n v="0.4375"/>
  </r>
  <r>
    <x v="45"/>
    <s v="OXFORD"/>
    <x v="5"/>
    <s v="UTILITY"/>
    <x v="1"/>
    <s v="Black"/>
    <x v="1"/>
    <x v="1"/>
    <x v="8"/>
    <n v="5"/>
    <x v="2"/>
    <n v="105"/>
    <n v="58"/>
    <n v="525"/>
    <n v="290"/>
    <n v="235"/>
    <n v="0.44761904761904803"/>
  </r>
  <r>
    <x v="41"/>
    <s v="monk straps"/>
    <x v="0"/>
    <s v="Formal"/>
    <x v="0"/>
    <s v="Black"/>
    <x v="3"/>
    <x v="3"/>
    <x v="0"/>
    <n v="4"/>
    <x v="1"/>
    <n v="89"/>
    <n v="47"/>
    <n v="356"/>
    <n v="188"/>
    <n v="168"/>
    <n v="0.47191011235955099"/>
  </r>
  <r>
    <x v="46"/>
    <s v="BROGUES"/>
    <x v="6"/>
    <s v="Formal"/>
    <x v="0"/>
    <s v="Black"/>
    <x v="3"/>
    <x v="3"/>
    <x v="1"/>
    <n v="1"/>
    <x v="3"/>
    <n v="112"/>
    <n v="64"/>
    <n v="112"/>
    <n v="64"/>
    <n v="48"/>
    <n v="0.42857142857142899"/>
  </r>
  <r>
    <x v="47"/>
    <s v="Canvas"/>
    <x v="4"/>
    <s v="Formal"/>
    <x v="0"/>
    <s v="Red"/>
    <x v="0"/>
    <x v="0"/>
    <x v="11"/>
    <n v="4"/>
    <x v="0"/>
    <n v="128"/>
    <n v="72"/>
    <n v="512"/>
    <n v="288"/>
    <n v="224"/>
    <n v="0.4375"/>
  </r>
  <r>
    <x v="48"/>
    <s v="monk straps"/>
    <x v="0"/>
    <s v="casual"/>
    <x v="2"/>
    <s v="Black"/>
    <x v="1"/>
    <x v="1"/>
    <x v="2"/>
    <n v="5"/>
    <x v="1"/>
    <n v="89"/>
    <n v="47"/>
    <n v="445"/>
    <n v="235"/>
    <n v="210"/>
    <n v="0.47191011235955099"/>
  </r>
  <r>
    <x v="49"/>
    <s v="Canvas"/>
    <x v="4"/>
    <s v="OPEN"/>
    <x v="3"/>
    <s v="Black"/>
    <x v="4"/>
    <x v="4"/>
    <x v="7"/>
    <n v="2"/>
    <x v="2"/>
    <n v="128"/>
    <n v="72"/>
    <n v="256"/>
    <n v="144"/>
    <n v="112"/>
    <n v="0.4375"/>
  </r>
  <r>
    <x v="50"/>
    <s v="SLIPPERS"/>
    <x v="7"/>
    <s v="Formal"/>
    <x v="0"/>
    <s v="Red"/>
    <x v="0"/>
    <x v="0"/>
    <x v="1"/>
    <n v="1"/>
    <x v="0"/>
    <n v="119"/>
    <n v="67"/>
    <n v="119"/>
    <n v="67"/>
    <n v="52"/>
    <n v="0.436974789915966"/>
  </r>
  <r>
    <x v="51"/>
    <s v="BROGUES"/>
    <x v="6"/>
    <s v="casual"/>
    <x v="2"/>
    <s v="Green"/>
    <x v="0"/>
    <x v="0"/>
    <x v="0"/>
    <n v="15"/>
    <x v="0"/>
    <n v="112"/>
    <n v="64"/>
    <n v="1680"/>
    <n v="960"/>
    <n v="720"/>
    <n v="0.42857142857142899"/>
  </r>
  <r>
    <x v="52"/>
    <s v="boots"/>
    <x v="3"/>
    <s v="Formal"/>
    <x v="0"/>
    <s v="Green"/>
    <x v="4"/>
    <x v="4"/>
    <x v="3"/>
    <n v="11"/>
    <x v="3"/>
    <n v="76"/>
    <n v="39"/>
    <n v="836"/>
    <n v="429"/>
    <n v="407"/>
    <n v="0.48684210526315802"/>
  </r>
  <r>
    <x v="53"/>
    <s v="OXFORD"/>
    <x v="5"/>
    <s v="UTILITY"/>
    <x v="1"/>
    <s v="Red"/>
    <x v="1"/>
    <x v="1"/>
    <x v="4"/>
    <n v="10"/>
    <x v="1"/>
    <n v="105"/>
    <n v="58"/>
    <n v="1050"/>
    <n v="580"/>
    <n v="470"/>
    <n v="0.44761904761904803"/>
  </r>
  <r>
    <x v="54"/>
    <s v="Canvas"/>
    <x v="4"/>
    <s v="Formal"/>
    <x v="0"/>
    <s v="Brown"/>
    <x v="4"/>
    <x v="4"/>
    <x v="2"/>
    <n v="9"/>
    <x v="1"/>
    <n v="128"/>
    <n v="72"/>
    <n v="1152"/>
    <n v="648"/>
    <n v="504"/>
    <n v="0.4375"/>
  </r>
  <r>
    <x v="55"/>
    <s v="loafers"/>
    <x v="1"/>
    <s v="Formal"/>
    <x v="0"/>
    <s v="Blue"/>
    <x v="0"/>
    <x v="0"/>
    <x v="0"/>
    <n v="1"/>
    <x v="0"/>
    <n v="54"/>
    <n v="28"/>
    <n v="54"/>
    <n v="28"/>
    <n v="26"/>
    <n v="0.48148148148148101"/>
  </r>
  <r>
    <x v="56"/>
    <s v="OXFORD"/>
    <x v="5"/>
    <s v="Formal"/>
    <x v="0"/>
    <s v="Green"/>
    <x v="3"/>
    <x v="3"/>
    <x v="7"/>
    <n v="8"/>
    <x v="0"/>
    <n v="105"/>
    <n v="58"/>
    <n v="840"/>
    <n v="464"/>
    <n v="376"/>
    <n v="0.44761904761904803"/>
  </r>
  <r>
    <x v="17"/>
    <s v="OXFORD"/>
    <x v="5"/>
    <s v="casual"/>
    <x v="2"/>
    <s v="Green"/>
    <x v="4"/>
    <x v="4"/>
    <x v="9"/>
    <n v="5"/>
    <x v="0"/>
    <n v="105"/>
    <n v="58"/>
    <n v="525"/>
    <n v="290"/>
    <n v="235"/>
    <n v="0.44761904761904803"/>
  </r>
  <r>
    <x v="57"/>
    <s v="Derby"/>
    <x v="2"/>
    <s v="casual"/>
    <x v="2"/>
    <s v="Black"/>
    <x v="2"/>
    <x v="2"/>
    <x v="1"/>
    <n v="14"/>
    <x v="1"/>
    <n v="32"/>
    <n v="14"/>
    <n v="448"/>
    <n v="196"/>
    <n v="252"/>
    <n v="0.5625"/>
  </r>
  <r>
    <x v="0"/>
    <s v="monk straps"/>
    <x v="0"/>
    <s v="OPEN"/>
    <x v="3"/>
    <s v="Brown"/>
    <x v="1"/>
    <x v="1"/>
    <x v="3"/>
    <n v="14"/>
    <x v="3"/>
    <n v="89"/>
    <n v="47"/>
    <n v="1246"/>
    <n v="658"/>
    <n v="588"/>
    <n v="0.47191011235955099"/>
  </r>
  <r>
    <x v="58"/>
    <s v="BROGUES"/>
    <x v="6"/>
    <s v="Formal"/>
    <x v="0"/>
    <s v="Black"/>
    <x v="1"/>
    <x v="1"/>
    <x v="11"/>
    <n v="8"/>
    <x v="3"/>
    <n v="112"/>
    <n v="64"/>
    <n v="896"/>
    <n v="512"/>
    <n v="384"/>
    <n v="0.42857142857142899"/>
  </r>
  <r>
    <x v="59"/>
    <s v="loafers"/>
    <x v="1"/>
    <s v="Formal"/>
    <x v="0"/>
    <s v="Black"/>
    <x v="1"/>
    <x v="1"/>
    <x v="10"/>
    <n v="7"/>
    <x v="0"/>
    <n v="54"/>
    <n v="28"/>
    <n v="378"/>
    <n v="196"/>
    <n v="182"/>
    <n v="0.48148148148148101"/>
  </r>
  <r>
    <x v="9"/>
    <s v="BROGUES"/>
    <x v="6"/>
    <s v="OPEN"/>
    <x v="3"/>
    <s v="Green"/>
    <x v="1"/>
    <x v="1"/>
    <x v="10"/>
    <n v="7"/>
    <x v="3"/>
    <n v="112"/>
    <n v="64"/>
    <n v="784"/>
    <n v="448"/>
    <n v="336"/>
    <n v="0.42857142857142899"/>
  </r>
  <r>
    <x v="60"/>
    <s v="monk straps"/>
    <x v="0"/>
    <s v="Formal"/>
    <x v="0"/>
    <s v="Green"/>
    <x v="2"/>
    <x v="2"/>
    <x v="4"/>
    <n v="8"/>
    <x v="2"/>
    <n v="89"/>
    <n v="47"/>
    <n v="712"/>
    <n v="376"/>
    <n v="336"/>
    <n v="0.47191011235955099"/>
  </r>
  <r>
    <x v="61"/>
    <s v="Derby"/>
    <x v="2"/>
    <s v="casual"/>
    <x v="2"/>
    <s v="Green"/>
    <x v="1"/>
    <x v="1"/>
    <x v="3"/>
    <n v="9"/>
    <x v="3"/>
    <n v="32"/>
    <n v="14"/>
    <n v="288"/>
    <n v="126"/>
    <n v="162"/>
    <n v="0.5625"/>
  </r>
  <r>
    <x v="62"/>
    <s v="boots"/>
    <x v="3"/>
    <s v="Formal"/>
    <x v="0"/>
    <s v="Brown"/>
    <x v="3"/>
    <x v="3"/>
    <x v="3"/>
    <n v="5"/>
    <x v="1"/>
    <n v="76"/>
    <n v="39"/>
    <n v="380"/>
    <n v="195"/>
    <n v="185"/>
    <n v="0.48684210526315802"/>
  </r>
  <r>
    <x v="63"/>
    <s v="boots"/>
    <x v="3"/>
    <s v="Formal"/>
    <x v="0"/>
    <s v="Blue"/>
    <x v="4"/>
    <x v="4"/>
    <x v="10"/>
    <n v="9"/>
    <x v="2"/>
    <n v="76"/>
    <n v="39"/>
    <n v="684"/>
    <n v="351"/>
    <n v="333"/>
    <n v="0.48684210526315802"/>
  </r>
  <r>
    <x v="64"/>
    <s v="OXFORD"/>
    <x v="5"/>
    <s v="casual"/>
    <x v="2"/>
    <s v="Brown"/>
    <x v="1"/>
    <x v="1"/>
    <x v="9"/>
    <n v="7"/>
    <x v="1"/>
    <n v="105"/>
    <n v="58"/>
    <n v="735"/>
    <n v="406"/>
    <n v="329"/>
    <n v="0.44761904761904803"/>
  </r>
  <r>
    <x v="65"/>
    <s v="OXFORD"/>
    <x v="5"/>
    <s v="Formal"/>
    <x v="0"/>
    <s v="Green"/>
    <x v="1"/>
    <x v="1"/>
    <x v="0"/>
    <n v="13"/>
    <x v="2"/>
    <n v="105"/>
    <n v="58"/>
    <n v="1365"/>
    <n v="754"/>
    <n v="611"/>
    <n v="0.44761904761904803"/>
  </r>
  <r>
    <x v="66"/>
    <s v="loafers"/>
    <x v="1"/>
    <s v="Formal"/>
    <x v="0"/>
    <s v="Blue"/>
    <x v="3"/>
    <x v="3"/>
    <x v="4"/>
    <n v="8"/>
    <x v="1"/>
    <n v="54"/>
    <n v="28"/>
    <n v="432"/>
    <n v="224"/>
    <n v="208"/>
    <n v="0.48148148148148101"/>
  </r>
  <r>
    <x v="67"/>
    <s v="Derby"/>
    <x v="2"/>
    <s v="casual"/>
    <x v="2"/>
    <s v="Brown"/>
    <x v="2"/>
    <x v="2"/>
    <x v="10"/>
    <n v="11"/>
    <x v="3"/>
    <n v="32"/>
    <n v="14"/>
    <n v="352"/>
    <n v="154"/>
    <n v="198"/>
    <n v="0.5625"/>
  </r>
  <r>
    <x v="68"/>
    <s v="BROGUES"/>
    <x v="6"/>
    <s v="Formal"/>
    <x v="0"/>
    <s v="Green"/>
    <x v="1"/>
    <x v="1"/>
    <x v="6"/>
    <n v="11"/>
    <x v="1"/>
    <n v="112"/>
    <n v="64"/>
    <n v="1232"/>
    <n v="704"/>
    <n v="528"/>
    <n v="0.42857142857142899"/>
  </r>
  <r>
    <x v="28"/>
    <s v="SLIPPERS"/>
    <x v="7"/>
    <s v="Formal"/>
    <x v="0"/>
    <s v="Black"/>
    <x v="2"/>
    <x v="2"/>
    <x v="13"/>
    <n v="15"/>
    <x v="1"/>
    <n v="119"/>
    <n v="67"/>
    <n v="1785"/>
    <n v="1005"/>
    <n v="780"/>
    <n v="0.436974789915966"/>
  </r>
  <r>
    <x v="34"/>
    <s v="Canvas"/>
    <x v="4"/>
    <s v="casual"/>
    <x v="2"/>
    <s v="Brown"/>
    <x v="3"/>
    <x v="3"/>
    <x v="11"/>
    <n v="10"/>
    <x v="0"/>
    <n v="128"/>
    <n v="72"/>
    <n v="1280"/>
    <n v="720"/>
    <n v="560"/>
    <n v="0.4375"/>
  </r>
  <r>
    <x v="69"/>
    <s v="boots"/>
    <x v="3"/>
    <s v="UTILITY"/>
    <x v="1"/>
    <s v="Brown"/>
    <x v="3"/>
    <x v="3"/>
    <x v="7"/>
    <n v="4"/>
    <x v="0"/>
    <n v="76"/>
    <n v="39"/>
    <n v="304"/>
    <n v="156"/>
    <n v="148"/>
    <n v="0.48684210526315802"/>
  </r>
  <r>
    <x v="11"/>
    <s v="boots"/>
    <x v="3"/>
    <s v="casual"/>
    <x v="2"/>
    <s v="Green"/>
    <x v="4"/>
    <x v="4"/>
    <x v="8"/>
    <n v="7"/>
    <x v="3"/>
    <n v="76"/>
    <n v="39"/>
    <n v="532"/>
    <n v="273"/>
    <n v="259"/>
    <n v="0.48684210526315802"/>
  </r>
  <r>
    <x v="70"/>
    <s v="Derby"/>
    <x v="2"/>
    <s v="UTILITY"/>
    <x v="1"/>
    <s v="Blue"/>
    <x v="4"/>
    <x v="4"/>
    <x v="12"/>
    <n v="7"/>
    <x v="2"/>
    <n v="32"/>
    <n v="14"/>
    <n v="224"/>
    <n v="98"/>
    <n v="126"/>
    <n v="0.5625"/>
  </r>
  <r>
    <x v="71"/>
    <s v="boots"/>
    <x v="3"/>
    <s v="Formal"/>
    <x v="0"/>
    <s v="Green"/>
    <x v="3"/>
    <x v="3"/>
    <x v="1"/>
    <n v="13"/>
    <x v="3"/>
    <n v="76"/>
    <n v="39"/>
    <n v="988"/>
    <n v="507"/>
    <n v="481"/>
    <n v="0.48684210526315802"/>
  </r>
  <r>
    <x v="72"/>
    <s v="loafers"/>
    <x v="1"/>
    <s v="UTILITY"/>
    <x v="1"/>
    <s v="Green"/>
    <x v="2"/>
    <x v="2"/>
    <x v="12"/>
    <n v="12"/>
    <x v="0"/>
    <n v="54"/>
    <n v="28"/>
    <n v="648"/>
    <n v="336"/>
    <n v="312"/>
    <n v="0.48148148148148101"/>
  </r>
  <r>
    <x v="73"/>
    <s v="boots"/>
    <x v="3"/>
    <s v="casual"/>
    <x v="2"/>
    <s v="Red"/>
    <x v="2"/>
    <x v="2"/>
    <x v="0"/>
    <n v="14"/>
    <x v="2"/>
    <n v="76"/>
    <n v="39"/>
    <n v="1064"/>
    <n v="546"/>
    <n v="518"/>
    <n v="0.48684210526315802"/>
  </r>
  <r>
    <x v="74"/>
    <s v="OXFORD"/>
    <x v="5"/>
    <s v="Formal"/>
    <x v="0"/>
    <s v="Brown"/>
    <x v="1"/>
    <x v="1"/>
    <x v="12"/>
    <n v="8"/>
    <x v="2"/>
    <n v="105"/>
    <n v="58"/>
    <n v="840"/>
    <n v="464"/>
    <n v="376"/>
    <n v="0.44761904761904803"/>
  </r>
  <r>
    <x v="75"/>
    <s v="boots"/>
    <x v="3"/>
    <s v="Formal"/>
    <x v="0"/>
    <s v="Green"/>
    <x v="1"/>
    <x v="1"/>
    <x v="7"/>
    <n v="3"/>
    <x v="0"/>
    <n v="76"/>
    <n v="39"/>
    <n v="228"/>
    <n v="117"/>
    <n v="111"/>
    <n v="0.48684210526315802"/>
  </r>
  <r>
    <x v="34"/>
    <s v="Derby"/>
    <x v="2"/>
    <s v="UTILITY"/>
    <x v="1"/>
    <s v="Black"/>
    <x v="4"/>
    <x v="4"/>
    <x v="4"/>
    <n v="8"/>
    <x v="1"/>
    <n v="32"/>
    <n v="14"/>
    <n v="256"/>
    <n v="112"/>
    <n v="144"/>
    <n v="0.5625"/>
  </r>
  <r>
    <x v="31"/>
    <s v="SLIPPERS"/>
    <x v="7"/>
    <s v="UTILITY"/>
    <x v="1"/>
    <s v="Green"/>
    <x v="3"/>
    <x v="3"/>
    <x v="4"/>
    <n v="14"/>
    <x v="0"/>
    <n v="119"/>
    <n v="67"/>
    <n v="1666"/>
    <n v="938"/>
    <n v="728"/>
    <n v="0.436974789915966"/>
  </r>
  <r>
    <x v="76"/>
    <s v="BROGUES"/>
    <x v="6"/>
    <s v="Formal"/>
    <x v="0"/>
    <s v="Green"/>
    <x v="4"/>
    <x v="4"/>
    <x v="1"/>
    <n v="7"/>
    <x v="3"/>
    <n v="112"/>
    <n v="64"/>
    <n v="784"/>
    <n v="448"/>
    <n v="336"/>
    <n v="0.42857142857142899"/>
  </r>
  <r>
    <x v="77"/>
    <s v="loafers"/>
    <x v="1"/>
    <s v="UTILITY"/>
    <x v="1"/>
    <s v="Brown"/>
    <x v="1"/>
    <x v="1"/>
    <x v="3"/>
    <n v="5"/>
    <x v="2"/>
    <n v="54"/>
    <n v="28"/>
    <n v="270"/>
    <n v="140"/>
    <n v="130"/>
    <n v="0.48148148148148101"/>
  </r>
  <r>
    <x v="78"/>
    <s v="OXFORD"/>
    <x v="5"/>
    <s v="Formal"/>
    <x v="0"/>
    <s v="Green"/>
    <x v="4"/>
    <x v="4"/>
    <x v="1"/>
    <n v="14"/>
    <x v="2"/>
    <n v="105"/>
    <n v="58"/>
    <n v="1470"/>
    <n v="812"/>
    <n v="658"/>
    <n v="0.44761904761904803"/>
  </r>
  <r>
    <x v="79"/>
    <s v="SLIPPERS"/>
    <x v="7"/>
    <s v="OPEN"/>
    <x v="3"/>
    <s v="Red"/>
    <x v="1"/>
    <x v="1"/>
    <x v="5"/>
    <n v="6"/>
    <x v="2"/>
    <n v="119"/>
    <n v="67"/>
    <n v="714"/>
    <n v="402"/>
    <n v="312"/>
    <n v="0.436974789915966"/>
  </r>
  <r>
    <x v="80"/>
    <s v="SLIPPERS"/>
    <x v="7"/>
    <s v="casual"/>
    <x v="2"/>
    <s v="Red"/>
    <x v="0"/>
    <x v="0"/>
    <x v="1"/>
    <n v="7"/>
    <x v="1"/>
    <n v="119"/>
    <n v="67"/>
    <n v="833"/>
    <n v="469"/>
    <n v="364"/>
    <n v="0.436974789915966"/>
  </r>
  <r>
    <x v="81"/>
    <s v="loafers"/>
    <x v="1"/>
    <s v="Formal"/>
    <x v="0"/>
    <s v="Green"/>
    <x v="1"/>
    <x v="1"/>
    <x v="2"/>
    <n v="9"/>
    <x v="0"/>
    <n v="54"/>
    <n v="28"/>
    <n v="486"/>
    <n v="252"/>
    <n v="234"/>
    <n v="0.48148148148148101"/>
  </r>
  <r>
    <x v="82"/>
    <s v="monk straps"/>
    <x v="0"/>
    <s v="Formal"/>
    <x v="0"/>
    <s v="Blue"/>
    <x v="4"/>
    <x v="4"/>
    <x v="4"/>
    <n v="10"/>
    <x v="1"/>
    <n v="89"/>
    <n v="47"/>
    <n v="890"/>
    <n v="470"/>
    <n v="420"/>
    <n v="0.47191011235955099"/>
  </r>
  <r>
    <x v="21"/>
    <s v="BROGUES"/>
    <x v="6"/>
    <s v="casual"/>
    <x v="2"/>
    <s v="Red"/>
    <x v="0"/>
    <x v="0"/>
    <x v="11"/>
    <n v="6"/>
    <x v="1"/>
    <n v="112"/>
    <n v="64"/>
    <n v="672"/>
    <n v="384"/>
    <n v="288"/>
    <n v="0.42857142857142899"/>
  </r>
  <r>
    <x v="56"/>
    <s v="OXFORD"/>
    <x v="5"/>
    <s v="OPEN"/>
    <x v="3"/>
    <s v="Brown"/>
    <x v="1"/>
    <x v="1"/>
    <x v="3"/>
    <n v="12"/>
    <x v="1"/>
    <n v="105"/>
    <n v="58"/>
    <n v="1260"/>
    <n v="696"/>
    <n v="564"/>
    <n v="0.44761904761904803"/>
  </r>
  <r>
    <x v="83"/>
    <s v="boots"/>
    <x v="3"/>
    <s v="casual"/>
    <x v="2"/>
    <s v="Brown"/>
    <x v="3"/>
    <x v="3"/>
    <x v="8"/>
    <n v="4"/>
    <x v="0"/>
    <n v="76"/>
    <n v="39"/>
    <n v="304"/>
    <n v="156"/>
    <n v="148"/>
    <n v="0.48684210526315802"/>
  </r>
  <r>
    <x v="84"/>
    <s v="monk straps"/>
    <x v="0"/>
    <s v="Formal"/>
    <x v="0"/>
    <s v="Black"/>
    <x v="3"/>
    <x v="3"/>
    <x v="4"/>
    <n v="8"/>
    <x v="3"/>
    <n v="89"/>
    <n v="47"/>
    <n v="712"/>
    <n v="376"/>
    <n v="336"/>
    <n v="0.47191011235955099"/>
  </r>
  <r>
    <x v="85"/>
    <s v="Derby"/>
    <x v="2"/>
    <s v="Formal"/>
    <x v="0"/>
    <s v="Blue"/>
    <x v="1"/>
    <x v="1"/>
    <x v="0"/>
    <n v="8"/>
    <x v="2"/>
    <n v="32"/>
    <n v="14"/>
    <n v="256"/>
    <n v="112"/>
    <n v="144"/>
    <n v="0.5625"/>
  </r>
  <r>
    <x v="71"/>
    <s v="SLIPPERS"/>
    <x v="7"/>
    <s v="UTILITY"/>
    <x v="1"/>
    <s v="Brown"/>
    <x v="3"/>
    <x v="3"/>
    <x v="3"/>
    <n v="6"/>
    <x v="1"/>
    <n v="119"/>
    <n v="67"/>
    <n v="714"/>
    <n v="402"/>
    <n v="312"/>
    <n v="0.436974789915966"/>
  </r>
  <r>
    <x v="29"/>
    <s v="monk straps"/>
    <x v="0"/>
    <s v="OPEN"/>
    <x v="3"/>
    <s v="Black"/>
    <x v="2"/>
    <x v="2"/>
    <x v="0"/>
    <n v="9"/>
    <x v="1"/>
    <n v="89"/>
    <n v="47"/>
    <n v="801"/>
    <n v="423"/>
    <n v="378"/>
    <n v="0.47191011235955099"/>
  </r>
  <r>
    <x v="44"/>
    <s v="boots"/>
    <x v="3"/>
    <s v="casual"/>
    <x v="2"/>
    <s v="Brown"/>
    <x v="3"/>
    <x v="3"/>
    <x v="3"/>
    <n v="2"/>
    <x v="3"/>
    <n v="76"/>
    <n v="39"/>
    <n v="152"/>
    <n v="78"/>
    <n v="74"/>
    <n v="0.48684210526315802"/>
  </r>
  <r>
    <x v="85"/>
    <s v="BROGUES"/>
    <x v="6"/>
    <s v="Formal"/>
    <x v="0"/>
    <s v="Brown"/>
    <x v="3"/>
    <x v="3"/>
    <x v="6"/>
    <n v="4"/>
    <x v="2"/>
    <n v="112"/>
    <n v="64"/>
    <n v="448"/>
    <n v="256"/>
    <n v="192"/>
    <n v="0.42857142857142899"/>
  </r>
  <r>
    <x v="72"/>
    <s v="monk straps"/>
    <x v="0"/>
    <s v="Formal"/>
    <x v="0"/>
    <s v="Red"/>
    <x v="3"/>
    <x v="3"/>
    <x v="3"/>
    <n v="15"/>
    <x v="2"/>
    <n v="89"/>
    <n v="47"/>
    <n v="1335"/>
    <n v="705"/>
    <n v="630"/>
    <n v="0.47191011235955099"/>
  </r>
  <r>
    <x v="4"/>
    <s v="boots"/>
    <x v="3"/>
    <s v="UTILITY"/>
    <x v="1"/>
    <s v="Red"/>
    <x v="3"/>
    <x v="3"/>
    <x v="5"/>
    <n v="15"/>
    <x v="0"/>
    <n v="76"/>
    <n v="39"/>
    <n v="1140"/>
    <n v="585"/>
    <n v="555"/>
    <n v="0.48684210526315802"/>
  </r>
  <r>
    <x v="86"/>
    <s v="Derby"/>
    <x v="2"/>
    <s v="Formal"/>
    <x v="0"/>
    <s v="Green"/>
    <x v="1"/>
    <x v="1"/>
    <x v="10"/>
    <n v="8"/>
    <x v="1"/>
    <n v="32"/>
    <n v="14"/>
    <n v="256"/>
    <n v="112"/>
    <n v="144"/>
    <n v="0.5625"/>
  </r>
  <r>
    <x v="87"/>
    <s v="monk straps"/>
    <x v="0"/>
    <s v="casual"/>
    <x v="2"/>
    <s v="Brown"/>
    <x v="0"/>
    <x v="0"/>
    <x v="3"/>
    <n v="7"/>
    <x v="1"/>
    <n v="89"/>
    <n v="47"/>
    <n v="623"/>
    <n v="329"/>
    <n v="294"/>
    <n v="0.47191011235955099"/>
  </r>
  <r>
    <x v="88"/>
    <s v="SLIPPERS"/>
    <x v="7"/>
    <s v="casual"/>
    <x v="2"/>
    <s v="Red"/>
    <x v="1"/>
    <x v="1"/>
    <x v="7"/>
    <n v="8"/>
    <x v="0"/>
    <n v="119"/>
    <n v="67"/>
    <n v="952"/>
    <n v="536"/>
    <n v="416"/>
    <n v="0.436974789915966"/>
  </r>
  <r>
    <x v="2"/>
    <s v="monk straps"/>
    <x v="0"/>
    <s v="Formal"/>
    <x v="0"/>
    <s v="Red"/>
    <x v="4"/>
    <x v="4"/>
    <x v="4"/>
    <n v="13"/>
    <x v="2"/>
    <n v="89"/>
    <n v="47"/>
    <n v="1157"/>
    <n v="611"/>
    <n v="546"/>
    <n v="0.47191011235955099"/>
  </r>
  <r>
    <x v="55"/>
    <s v="OXFORD"/>
    <x v="5"/>
    <s v="Formal"/>
    <x v="0"/>
    <s v="Green"/>
    <x v="0"/>
    <x v="0"/>
    <x v="3"/>
    <n v="14"/>
    <x v="0"/>
    <n v="105"/>
    <n v="58"/>
    <n v="1470"/>
    <n v="812"/>
    <n v="658"/>
    <n v="0.44761904761904803"/>
  </r>
  <r>
    <x v="89"/>
    <s v="monk straps"/>
    <x v="0"/>
    <s v="Formal"/>
    <x v="0"/>
    <s v="Green"/>
    <x v="1"/>
    <x v="1"/>
    <x v="13"/>
    <n v="12"/>
    <x v="2"/>
    <n v="89"/>
    <n v="47"/>
    <n v="1068"/>
    <n v="564"/>
    <n v="504"/>
    <n v="0.47191011235955099"/>
  </r>
  <r>
    <x v="90"/>
    <s v="Canvas"/>
    <x v="4"/>
    <s v="OPEN"/>
    <x v="3"/>
    <s v="Green"/>
    <x v="1"/>
    <x v="1"/>
    <x v="8"/>
    <n v="10"/>
    <x v="1"/>
    <n v="128"/>
    <n v="72"/>
    <n v="1280"/>
    <n v="720"/>
    <n v="560"/>
    <n v="0.4375"/>
  </r>
  <r>
    <x v="12"/>
    <s v="BROGUES"/>
    <x v="6"/>
    <s v="Formal"/>
    <x v="0"/>
    <s v="Blue"/>
    <x v="1"/>
    <x v="1"/>
    <x v="10"/>
    <n v="6"/>
    <x v="1"/>
    <n v="112"/>
    <n v="64"/>
    <n v="672"/>
    <n v="384"/>
    <n v="288"/>
    <n v="0.42857142857142899"/>
  </r>
  <r>
    <x v="56"/>
    <s v="monk straps"/>
    <x v="0"/>
    <s v="OPEN"/>
    <x v="3"/>
    <s v="Brown"/>
    <x v="3"/>
    <x v="3"/>
    <x v="0"/>
    <n v="13"/>
    <x v="1"/>
    <n v="89"/>
    <n v="47"/>
    <n v="1157"/>
    <n v="611"/>
    <n v="546"/>
    <n v="0.47191011235955099"/>
  </r>
  <r>
    <x v="83"/>
    <s v="Derby"/>
    <x v="2"/>
    <s v="Formal"/>
    <x v="0"/>
    <s v="Green"/>
    <x v="1"/>
    <x v="1"/>
    <x v="1"/>
    <n v="4"/>
    <x v="3"/>
    <n v="32"/>
    <n v="14"/>
    <n v="128"/>
    <n v="56"/>
    <n v="72"/>
    <n v="0.5625"/>
  </r>
  <r>
    <x v="16"/>
    <s v="boots"/>
    <x v="3"/>
    <s v="Formal"/>
    <x v="0"/>
    <s v="Black"/>
    <x v="1"/>
    <x v="1"/>
    <x v="3"/>
    <n v="12"/>
    <x v="0"/>
    <n v="76"/>
    <n v="39"/>
    <n v="912"/>
    <n v="468"/>
    <n v="444"/>
    <n v="0.48684210526315802"/>
  </r>
  <r>
    <x v="91"/>
    <s v="monk straps"/>
    <x v="0"/>
    <s v="Formal"/>
    <x v="0"/>
    <s v="Green"/>
    <x v="3"/>
    <x v="3"/>
    <x v="5"/>
    <n v="5"/>
    <x v="3"/>
    <n v="89"/>
    <n v="47"/>
    <n v="445"/>
    <n v="235"/>
    <n v="210"/>
    <n v="0.47191011235955099"/>
  </r>
  <r>
    <x v="92"/>
    <s v="loafers"/>
    <x v="1"/>
    <s v="UTILITY"/>
    <x v="1"/>
    <s v="Red"/>
    <x v="0"/>
    <x v="0"/>
    <x v="7"/>
    <n v="7"/>
    <x v="0"/>
    <n v="54"/>
    <n v="28"/>
    <n v="378"/>
    <n v="196"/>
    <n v="182"/>
    <n v="0.48148148148148101"/>
  </r>
  <r>
    <x v="93"/>
    <s v="loafers"/>
    <x v="1"/>
    <s v="Formal"/>
    <x v="0"/>
    <s v="Brown"/>
    <x v="2"/>
    <x v="2"/>
    <x v="3"/>
    <n v="15"/>
    <x v="0"/>
    <n v="54"/>
    <n v="28"/>
    <n v="810"/>
    <n v="420"/>
    <n v="390"/>
    <n v="0.48148148148148101"/>
  </r>
  <r>
    <x v="49"/>
    <s v="OXFORD"/>
    <x v="5"/>
    <s v="Formal"/>
    <x v="0"/>
    <s v="Red"/>
    <x v="1"/>
    <x v="1"/>
    <x v="8"/>
    <n v="15"/>
    <x v="0"/>
    <n v="105"/>
    <n v="58"/>
    <n v="1575"/>
    <n v="870"/>
    <n v="705"/>
    <n v="0.44761904761904803"/>
  </r>
  <r>
    <x v="22"/>
    <s v="Derby"/>
    <x v="2"/>
    <s v="Formal"/>
    <x v="0"/>
    <s v="Red"/>
    <x v="1"/>
    <x v="1"/>
    <x v="10"/>
    <n v="5"/>
    <x v="0"/>
    <n v="32"/>
    <n v="14"/>
    <n v="160"/>
    <n v="70"/>
    <n v="90"/>
    <n v="0.5625"/>
  </r>
  <r>
    <x v="94"/>
    <s v="SLIPPERS"/>
    <x v="7"/>
    <s v="casual"/>
    <x v="2"/>
    <s v="Blue"/>
    <x v="4"/>
    <x v="4"/>
    <x v="12"/>
    <n v="3"/>
    <x v="2"/>
    <n v="119"/>
    <n v="67"/>
    <n v="357"/>
    <n v="201"/>
    <n v="156"/>
    <n v="0.436974789915966"/>
  </r>
  <r>
    <x v="53"/>
    <s v="OXFORD"/>
    <x v="5"/>
    <s v="Formal"/>
    <x v="0"/>
    <s v="Blue"/>
    <x v="0"/>
    <x v="0"/>
    <x v="0"/>
    <n v="14"/>
    <x v="2"/>
    <n v="105"/>
    <n v="58"/>
    <n v="1470"/>
    <n v="812"/>
    <n v="658"/>
    <n v="0.44761904761904803"/>
  </r>
  <r>
    <x v="95"/>
    <s v="BROGUES"/>
    <x v="6"/>
    <s v="Formal"/>
    <x v="0"/>
    <s v="Black"/>
    <x v="1"/>
    <x v="1"/>
    <x v="9"/>
    <n v="7"/>
    <x v="2"/>
    <n v="112"/>
    <n v="64"/>
    <n v="784"/>
    <n v="448"/>
    <n v="336"/>
    <n v="0.42857142857142899"/>
  </r>
  <r>
    <x v="96"/>
    <s v="Derby"/>
    <x v="2"/>
    <s v="UTILITY"/>
    <x v="1"/>
    <s v="Brown"/>
    <x v="3"/>
    <x v="3"/>
    <x v="2"/>
    <n v="8"/>
    <x v="2"/>
    <n v="32"/>
    <n v="14"/>
    <n v="256"/>
    <n v="112"/>
    <n v="144"/>
    <n v="0.5625"/>
  </r>
  <r>
    <x v="97"/>
    <s v="boots"/>
    <x v="3"/>
    <s v="Formal"/>
    <x v="0"/>
    <s v="Green"/>
    <x v="3"/>
    <x v="3"/>
    <x v="2"/>
    <n v="3"/>
    <x v="1"/>
    <n v="76"/>
    <n v="39"/>
    <n v="228"/>
    <n v="117"/>
    <n v="111"/>
    <n v="0.48684210526315802"/>
  </r>
  <r>
    <x v="98"/>
    <s v="OXFORD"/>
    <x v="5"/>
    <s v="Formal"/>
    <x v="0"/>
    <s v="Brown"/>
    <x v="3"/>
    <x v="3"/>
    <x v="13"/>
    <n v="10"/>
    <x v="1"/>
    <n v="105"/>
    <n v="58"/>
    <n v="1050"/>
    <n v="580"/>
    <n v="470"/>
    <n v="0.44761904761904803"/>
  </r>
  <r>
    <x v="99"/>
    <s v="Derby"/>
    <x v="2"/>
    <s v="Formal"/>
    <x v="0"/>
    <s v="Red"/>
    <x v="1"/>
    <x v="1"/>
    <x v="10"/>
    <n v="15"/>
    <x v="3"/>
    <n v="32"/>
    <n v="14"/>
    <n v="480"/>
    <n v="210"/>
    <n v="270"/>
    <n v="0.5625"/>
  </r>
  <r>
    <x v="100"/>
    <s v="loafers"/>
    <x v="1"/>
    <s v="Formal"/>
    <x v="0"/>
    <s v="Green"/>
    <x v="2"/>
    <x v="2"/>
    <x v="13"/>
    <n v="8"/>
    <x v="2"/>
    <n v="54"/>
    <n v="28"/>
    <n v="432"/>
    <n v="224"/>
    <n v="208"/>
    <n v="0.48148148148148101"/>
  </r>
  <r>
    <x v="101"/>
    <s v="boots"/>
    <x v="3"/>
    <s v="casual"/>
    <x v="2"/>
    <s v="Green"/>
    <x v="4"/>
    <x v="4"/>
    <x v="7"/>
    <n v="9"/>
    <x v="3"/>
    <n v="76"/>
    <n v="39"/>
    <n v="684"/>
    <n v="351"/>
    <n v="333"/>
    <n v="0.48684210526315802"/>
  </r>
  <r>
    <x v="81"/>
    <s v="SLIPPERS"/>
    <x v="7"/>
    <s v="Formal"/>
    <x v="0"/>
    <s v="Black"/>
    <x v="3"/>
    <x v="3"/>
    <x v="11"/>
    <n v="10"/>
    <x v="0"/>
    <n v="119"/>
    <n v="67"/>
    <n v="1190"/>
    <n v="670"/>
    <n v="520"/>
    <n v="0.436974789915966"/>
  </r>
  <r>
    <x v="53"/>
    <s v="BROGUES"/>
    <x v="6"/>
    <s v="Formal"/>
    <x v="0"/>
    <s v="Red"/>
    <x v="0"/>
    <x v="0"/>
    <x v="6"/>
    <n v="6"/>
    <x v="1"/>
    <n v="112"/>
    <n v="64"/>
    <n v="672"/>
    <n v="384"/>
    <n v="288"/>
    <n v="0.42857142857142899"/>
  </r>
  <r>
    <x v="102"/>
    <s v="Canvas"/>
    <x v="4"/>
    <s v="Formal"/>
    <x v="0"/>
    <s v="Blue"/>
    <x v="3"/>
    <x v="3"/>
    <x v="10"/>
    <n v="7"/>
    <x v="1"/>
    <n v="128"/>
    <n v="72"/>
    <n v="896"/>
    <n v="504"/>
    <n v="392"/>
    <n v="0.4375"/>
  </r>
  <r>
    <x v="28"/>
    <s v="boots"/>
    <x v="3"/>
    <s v="OPEN"/>
    <x v="3"/>
    <s v="Red"/>
    <x v="4"/>
    <x v="4"/>
    <x v="4"/>
    <n v="15"/>
    <x v="2"/>
    <n v="76"/>
    <n v="39"/>
    <n v="1140"/>
    <n v="585"/>
    <n v="555"/>
    <n v="0.48684210526315802"/>
  </r>
  <r>
    <x v="79"/>
    <s v="monk straps"/>
    <x v="0"/>
    <s v="Formal"/>
    <x v="0"/>
    <s v="Blue"/>
    <x v="3"/>
    <x v="3"/>
    <x v="6"/>
    <n v="11"/>
    <x v="0"/>
    <n v="89"/>
    <n v="47"/>
    <n v="979"/>
    <n v="517"/>
    <n v="462"/>
    <n v="0.47191011235955099"/>
  </r>
  <r>
    <x v="103"/>
    <s v="Canvas"/>
    <x v="4"/>
    <s v="casual"/>
    <x v="2"/>
    <s v="Red"/>
    <x v="0"/>
    <x v="0"/>
    <x v="1"/>
    <n v="8"/>
    <x v="1"/>
    <n v="128"/>
    <n v="72"/>
    <n v="1024"/>
    <n v="576"/>
    <n v="448"/>
    <n v="0.4375"/>
  </r>
  <r>
    <x v="104"/>
    <s v="monk straps"/>
    <x v="0"/>
    <s v="Formal"/>
    <x v="0"/>
    <s v="Green"/>
    <x v="3"/>
    <x v="3"/>
    <x v="9"/>
    <n v="8"/>
    <x v="0"/>
    <n v="89"/>
    <n v="47"/>
    <n v="712"/>
    <n v="376"/>
    <n v="336"/>
    <n v="0.47191011235955099"/>
  </r>
  <r>
    <x v="22"/>
    <s v="Canvas"/>
    <x v="4"/>
    <s v="UTILITY"/>
    <x v="1"/>
    <s v="Brown"/>
    <x v="0"/>
    <x v="0"/>
    <x v="6"/>
    <n v="2"/>
    <x v="3"/>
    <n v="128"/>
    <n v="72"/>
    <n v="256"/>
    <n v="144"/>
    <n v="112"/>
    <n v="0.4375"/>
  </r>
  <r>
    <x v="46"/>
    <s v="OXFORD"/>
    <x v="5"/>
    <s v="Formal"/>
    <x v="0"/>
    <s v="Red"/>
    <x v="1"/>
    <x v="1"/>
    <x v="4"/>
    <n v="12"/>
    <x v="1"/>
    <n v="105"/>
    <n v="58"/>
    <n v="1260"/>
    <n v="696"/>
    <n v="564"/>
    <n v="0.44761904761904803"/>
  </r>
  <r>
    <x v="105"/>
    <s v="Canvas"/>
    <x v="4"/>
    <s v="Formal"/>
    <x v="0"/>
    <s v="Blue"/>
    <x v="3"/>
    <x v="3"/>
    <x v="13"/>
    <n v="13"/>
    <x v="2"/>
    <n v="128"/>
    <n v="72"/>
    <n v="1664"/>
    <n v="936"/>
    <n v="728"/>
    <n v="0.4375"/>
  </r>
  <r>
    <x v="47"/>
    <s v="loafers"/>
    <x v="1"/>
    <s v="casual"/>
    <x v="2"/>
    <s v="Black"/>
    <x v="2"/>
    <x v="2"/>
    <x v="13"/>
    <n v="3"/>
    <x v="0"/>
    <n v="54"/>
    <n v="28"/>
    <n v="162"/>
    <n v="84"/>
    <n v="78"/>
    <n v="0.48148148148148101"/>
  </r>
  <r>
    <x v="4"/>
    <s v="Canvas"/>
    <x v="4"/>
    <s v="Formal"/>
    <x v="0"/>
    <s v="Black"/>
    <x v="3"/>
    <x v="3"/>
    <x v="7"/>
    <n v="11"/>
    <x v="1"/>
    <n v="128"/>
    <n v="72"/>
    <n v="1408"/>
    <n v="792"/>
    <n v="616"/>
    <n v="0.4375"/>
  </r>
  <r>
    <x v="54"/>
    <s v="BROGUES"/>
    <x v="6"/>
    <s v="Formal"/>
    <x v="0"/>
    <s v="Red"/>
    <x v="3"/>
    <x v="3"/>
    <x v="3"/>
    <n v="3"/>
    <x v="0"/>
    <n v="112"/>
    <n v="64"/>
    <n v="336"/>
    <n v="192"/>
    <n v="144"/>
    <n v="0.42857142857142899"/>
  </r>
  <r>
    <x v="106"/>
    <s v="OXFORD"/>
    <x v="5"/>
    <s v="OPEN"/>
    <x v="3"/>
    <s v="Green"/>
    <x v="3"/>
    <x v="3"/>
    <x v="3"/>
    <n v="14"/>
    <x v="1"/>
    <n v="105"/>
    <n v="58"/>
    <n v="1470"/>
    <n v="812"/>
    <n v="658"/>
    <n v="0.44761904761904803"/>
  </r>
  <r>
    <x v="98"/>
    <s v="SLIPPERS"/>
    <x v="7"/>
    <s v="casual"/>
    <x v="2"/>
    <s v="Brown"/>
    <x v="1"/>
    <x v="1"/>
    <x v="3"/>
    <n v="1"/>
    <x v="2"/>
    <n v="119"/>
    <n v="67"/>
    <n v="119"/>
    <n v="67"/>
    <n v="52"/>
    <n v="0.436974789915966"/>
  </r>
  <r>
    <x v="107"/>
    <s v="BROGUES"/>
    <x v="6"/>
    <s v="Formal"/>
    <x v="0"/>
    <s v="Green"/>
    <x v="4"/>
    <x v="4"/>
    <x v="13"/>
    <n v="10"/>
    <x v="0"/>
    <n v="112"/>
    <n v="64"/>
    <n v="1120"/>
    <n v="640"/>
    <n v="480"/>
    <n v="0.42857142857142899"/>
  </r>
  <r>
    <x v="97"/>
    <s v="monk straps"/>
    <x v="0"/>
    <s v="Formal"/>
    <x v="0"/>
    <s v="Green"/>
    <x v="0"/>
    <x v="0"/>
    <x v="2"/>
    <n v="7"/>
    <x v="0"/>
    <n v="89"/>
    <n v="47"/>
    <n v="623"/>
    <n v="329"/>
    <n v="294"/>
    <n v="0.47191011235955099"/>
  </r>
  <r>
    <x v="15"/>
    <s v="OXFORD"/>
    <x v="5"/>
    <s v="UTILITY"/>
    <x v="1"/>
    <s v="Brown"/>
    <x v="3"/>
    <x v="3"/>
    <x v="10"/>
    <n v="6"/>
    <x v="3"/>
    <n v="105"/>
    <n v="58"/>
    <n v="630"/>
    <n v="348"/>
    <n v="282"/>
    <n v="0.44761904761904803"/>
  </r>
  <r>
    <x v="1"/>
    <s v="BROGUES"/>
    <x v="6"/>
    <s v="UTILITY"/>
    <x v="1"/>
    <s v="Brown"/>
    <x v="0"/>
    <x v="0"/>
    <x v="8"/>
    <n v="8"/>
    <x v="0"/>
    <n v="112"/>
    <n v="64"/>
    <n v="896"/>
    <n v="512"/>
    <n v="384"/>
    <n v="0.42857142857142899"/>
  </r>
  <r>
    <x v="108"/>
    <s v="boots"/>
    <x v="3"/>
    <s v="Formal"/>
    <x v="0"/>
    <s v="Green"/>
    <x v="3"/>
    <x v="3"/>
    <x v="2"/>
    <n v="13"/>
    <x v="1"/>
    <n v="76"/>
    <n v="39"/>
    <n v="988"/>
    <n v="507"/>
    <n v="481"/>
    <n v="0.48684210526315802"/>
  </r>
  <r>
    <x v="54"/>
    <s v="Canvas"/>
    <x v="4"/>
    <s v="Formal"/>
    <x v="0"/>
    <s v="Black"/>
    <x v="2"/>
    <x v="2"/>
    <x v="1"/>
    <n v="11"/>
    <x v="1"/>
    <n v="128"/>
    <n v="72"/>
    <n v="1408"/>
    <n v="792"/>
    <n v="616"/>
    <n v="0.4375"/>
  </r>
  <r>
    <x v="59"/>
    <s v="BROGUES"/>
    <x v="6"/>
    <s v="Formal"/>
    <x v="0"/>
    <s v="Brown"/>
    <x v="3"/>
    <x v="3"/>
    <x v="4"/>
    <n v="8"/>
    <x v="3"/>
    <n v="112"/>
    <n v="64"/>
    <n v="896"/>
    <n v="512"/>
    <n v="384"/>
    <n v="0.42857142857142899"/>
  </r>
  <r>
    <x v="109"/>
    <s v="loafers"/>
    <x v="1"/>
    <s v="Formal"/>
    <x v="0"/>
    <s v="Black"/>
    <x v="4"/>
    <x v="4"/>
    <x v="7"/>
    <n v="13"/>
    <x v="3"/>
    <n v="54"/>
    <n v="28"/>
    <n v="702"/>
    <n v="364"/>
    <n v="338"/>
    <n v="0.48148148148148101"/>
  </r>
  <r>
    <x v="109"/>
    <s v="monk straps"/>
    <x v="0"/>
    <s v="UTILITY"/>
    <x v="1"/>
    <s v="Blue"/>
    <x v="3"/>
    <x v="3"/>
    <x v="1"/>
    <n v="12"/>
    <x v="2"/>
    <n v="89"/>
    <n v="47"/>
    <n v="1068"/>
    <n v="564"/>
    <n v="504"/>
    <n v="0.47191011235955099"/>
  </r>
  <r>
    <x v="110"/>
    <s v="boots"/>
    <x v="3"/>
    <s v="casual"/>
    <x v="2"/>
    <s v="Green"/>
    <x v="1"/>
    <x v="1"/>
    <x v="8"/>
    <n v="1"/>
    <x v="1"/>
    <n v="76"/>
    <n v="39"/>
    <n v="76"/>
    <n v="39"/>
    <n v="37"/>
    <n v="0.48684210526315802"/>
  </r>
  <r>
    <x v="71"/>
    <s v="loafers"/>
    <x v="1"/>
    <s v="Formal"/>
    <x v="0"/>
    <s v="Red"/>
    <x v="1"/>
    <x v="1"/>
    <x v="3"/>
    <n v="10"/>
    <x v="3"/>
    <n v="54"/>
    <n v="28"/>
    <n v="540"/>
    <n v="280"/>
    <n v="260"/>
    <n v="0.48148148148148101"/>
  </r>
  <r>
    <x v="57"/>
    <s v="monk straps"/>
    <x v="0"/>
    <s v="casual"/>
    <x v="2"/>
    <s v="Red"/>
    <x v="4"/>
    <x v="4"/>
    <x v="3"/>
    <n v="15"/>
    <x v="2"/>
    <n v="89"/>
    <n v="47"/>
    <n v="1335"/>
    <n v="705"/>
    <n v="630"/>
    <n v="0.47191011235955099"/>
  </r>
  <r>
    <x v="41"/>
    <s v="SLIPPERS"/>
    <x v="7"/>
    <s v="Formal"/>
    <x v="0"/>
    <s v="Brown"/>
    <x v="1"/>
    <x v="1"/>
    <x v="2"/>
    <n v="3"/>
    <x v="3"/>
    <n v="119"/>
    <n v="67"/>
    <n v="357"/>
    <n v="201"/>
    <n v="156"/>
    <n v="0.436974789915966"/>
  </r>
  <r>
    <x v="58"/>
    <s v="boots"/>
    <x v="3"/>
    <s v="casual"/>
    <x v="2"/>
    <s v="Blue"/>
    <x v="4"/>
    <x v="4"/>
    <x v="1"/>
    <n v="1"/>
    <x v="0"/>
    <n v="76"/>
    <n v="39"/>
    <n v="76"/>
    <n v="39"/>
    <n v="37"/>
    <n v="0.48684210526315802"/>
  </r>
  <r>
    <x v="111"/>
    <s v="loafers"/>
    <x v="1"/>
    <s v="casual"/>
    <x v="2"/>
    <s v="Red"/>
    <x v="1"/>
    <x v="1"/>
    <x v="4"/>
    <n v="9"/>
    <x v="2"/>
    <n v="54"/>
    <n v="28"/>
    <n v="486"/>
    <n v="252"/>
    <n v="234"/>
    <n v="0.48148148148148101"/>
  </r>
  <r>
    <x v="18"/>
    <s v="Derby"/>
    <x v="2"/>
    <s v="UTILITY"/>
    <x v="1"/>
    <s v="Black"/>
    <x v="3"/>
    <x v="3"/>
    <x v="7"/>
    <n v="13"/>
    <x v="0"/>
    <n v="32"/>
    <n v="14"/>
    <n v="416"/>
    <n v="182"/>
    <n v="234"/>
    <n v="0.5625"/>
  </r>
  <r>
    <x v="71"/>
    <s v="SLIPPERS"/>
    <x v="7"/>
    <s v="OPEN"/>
    <x v="3"/>
    <s v="Black"/>
    <x v="1"/>
    <x v="1"/>
    <x v="10"/>
    <n v="10"/>
    <x v="1"/>
    <n v="119"/>
    <n v="67"/>
    <n v="1190"/>
    <n v="670"/>
    <n v="520"/>
    <n v="0.436974789915966"/>
  </r>
  <r>
    <x v="59"/>
    <s v="monk straps"/>
    <x v="0"/>
    <s v="Formal"/>
    <x v="0"/>
    <s v="Green"/>
    <x v="0"/>
    <x v="0"/>
    <x v="11"/>
    <n v="10"/>
    <x v="0"/>
    <n v="89"/>
    <n v="47"/>
    <n v="890"/>
    <n v="470"/>
    <n v="420"/>
    <n v="0.47191011235955099"/>
  </r>
  <r>
    <x v="36"/>
    <s v="Canvas"/>
    <x v="4"/>
    <s v="Formal"/>
    <x v="0"/>
    <s v="Brown"/>
    <x v="3"/>
    <x v="3"/>
    <x v="5"/>
    <n v="15"/>
    <x v="1"/>
    <n v="128"/>
    <n v="72"/>
    <n v="1920"/>
    <n v="1080"/>
    <n v="840"/>
    <n v="0.4375"/>
  </r>
  <r>
    <x v="112"/>
    <s v="Derby"/>
    <x v="2"/>
    <s v="casual"/>
    <x v="2"/>
    <s v="Red"/>
    <x v="3"/>
    <x v="3"/>
    <x v="6"/>
    <n v="9"/>
    <x v="3"/>
    <n v="32"/>
    <n v="14"/>
    <n v="288"/>
    <n v="126"/>
    <n v="162"/>
    <n v="0.5625"/>
  </r>
  <r>
    <x v="113"/>
    <s v="BROGUES"/>
    <x v="6"/>
    <s v="casual"/>
    <x v="2"/>
    <s v="Brown"/>
    <x v="4"/>
    <x v="4"/>
    <x v="11"/>
    <n v="14"/>
    <x v="2"/>
    <n v="112"/>
    <n v="64"/>
    <n v="1568"/>
    <n v="896"/>
    <n v="672"/>
    <n v="0.42857142857142899"/>
  </r>
  <r>
    <x v="114"/>
    <s v="BROGUES"/>
    <x v="6"/>
    <s v="Formal"/>
    <x v="0"/>
    <s v="Black"/>
    <x v="1"/>
    <x v="1"/>
    <x v="4"/>
    <n v="14"/>
    <x v="3"/>
    <n v="112"/>
    <n v="64"/>
    <n v="1568"/>
    <n v="896"/>
    <n v="672"/>
    <n v="0.42857142857142899"/>
  </r>
  <r>
    <x v="77"/>
    <s v="Canvas"/>
    <x v="4"/>
    <s v="Formal"/>
    <x v="0"/>
    <s v="Black"/>
    <x v="3"/>
    <x v="3"/>
    <x v="5"/>
    <n v="10"/>
    <x v="1"/>
    <n v="128"/>
    <n v="72"/>
    <n v="1280"/>
    <n v="720"/>
    <n v="560"/>
    <n v="0.4375"/>
  </r>
  <r>
    <x v="35"/>
    <s v="BROGUES"/>
    <x v="6"/>
    <s v="casual"/>
    <x v="2"/>
    <s v="Green"/>
    <x v="3"/>
    <x v="3"/>
    <x v="6"/>
    <n v="15"/>
    <x v="0"/>
    <n v="112"/>
    <n v="64"/>
    <n v="1680"/>
    <n v="960"/>
    <n v="720"/>
    <n v="0.42857142857142899"/>
  </r>
  <r>
    <x v="56"/>
    <s v="Derby"/>
    <x v="2"/>
    <s v="casual"/>
    <x v="2"/>
    <s v="Blue"/>
    <x v="2"/>
    <x v="2"/>
    <x v="7"/>
    <n v="5"/>
    <x v="3"/>
    <n v="32"/>
    <n v="14"/>
    <n v="160"/>
    <n v="70"/>
    <n v="90"/>
    <n v="0.5625"/>
  </r>
  <r>
    <x v="73"/>
    <s v="Derby"/>
    <x v="2"/>
    <s v="Formal"/>
    <x v="0"/>
    <s v="Brown"/>
    <x v="2"/>
    <x v="2"/>
    <x v="7"/>
    <n v="15"/>
    <x v="0"/>
    <n v="32"/>
    <n v="14"/>
    <n v="480"/>
    <n v="210"/>
    <n v="270"/>
    <n v="0.5625"/>
  </r>
  <r>
    <x v="78"/>
    <s v="Canvas"/>
    <x v="4"/>
    <s v="casual"/>
    <x v="2"/>
    <s v="Black"/>
    <x v="2"/>
    <x v="2"/>
    <x v="10"/>
    <n v="13"/>
    <x v="2"/>
    <n v="128"/>
    <n v="72"/>
    <n v="1664"/>
    <n v="936"/>
    <n v="728"/>
    <n v="0.4375"/>
  </r>
  <r>
    <x v="19"/>
    <s v="BROGUES"/>
    <x v="6"/>
    <s v="OPEN"/>
    <x v="3"/>
    <s v="Green"/>
    <x v="2"/>
    <x v="2"/>
    <x v="1"/>
    <n v="9"/>
    <x v="2"/>
    <n v="112"/>
    <n v="64"/>
    <n v="1008"/>
    <n v="576"/>
    <n v="432"/>
    <n v="0.42857142857142899"/>
  </r>
  <r>
    <x v="115"/>
    <s v="Derby"/>
    <x v="2"/>
    <s v="UTILITY"/>
    <x v="1"/>
    <s v="Black"/>
    <x v="1"/>
    <x v="1"/>
    <x v="10"/>
    <n v="9"/>
    <x v="1"/>
    <n v="32"/>
    <n v="14"/>
    <n v="288"/>
    <n v="126"/>
    <n v="162"/>
    <n v="0.5625"/>
  </r>
  <r>
    <x v="116"/>
    <s v="SLIPPERS"/>
    <x v="7"/>
    <s v="casual"/>
    <x v="2"/>
    <s v="Green"/>
    <x v="1"/>
    <x v="1"/>
    <x v="11"/>
    <n v="9"/>
    <x v="1"/>
    <n v="119"/>
    <n v="67"/>
    <n v="1071"/>
    <n v="603"/>
    <n v="468"/>
    <n v="0.436974789915966"/>
  </r>
  <r>
    <x v="62"/>
    <s v="Canvas"/>
    <x v="4"/>
    <s v="Formal"/>
    <x v="0"/>
    <s v="Blue"/>
    <x v="2"/>
    <x v="2"/>
    <x v="6"/>
    <n v="3"/>
    <x v="2"/>
    <n v="128"/>
    <n v="72"/>
    <n v="384"/>
    <n v="216"/>
    <n v="168"/>
    <n v="0.4375"/>
  </r>
  <r>
    <x v="110"/>
    <s v="BROGUES"/>
    <x v="6"/>
    <s v="casual"/>
    <x v="2"/>
    <s v="Brown"/>
    <x v="3"/>
    <x v="3"/>
    <x v="4"/>
    <n v="2"/>
    <x v="3"/>
    <n v="112"/>
    <n v="64"/>
    <n v="224"/>
    <n v="128"/>
    <n v="96"/>
    <n v="0.42857142857142899"/>
  </r>
  <r>
    <x v="39"/>
    <s v="boots"/>
    <x v="3"/>
    <s v="UTILITY"/>
    <x v="1"/>
    <s v="Red"/>
    <x v="4"/>
    <x v="4"/>
    <x v="8"/>
    <n v="6"/>
    <x v="0"/>
    <n v="76"/>
    <n v="39"/>
    <n v="456"/>
    <n v="234"/>
    <n v="222"/>
    <n v="0.48684210526315802"/>
  </r>
  <r>
    <x v="117"/>
    <s v="SLIPPERS"/>
    <x v="7"/>
    <s v="OPEN"/>
    <x v="3"/>
    <s v="Brown"/>
    <x v="3"/>
    <x v="3"/>
    <x v="5"/>
    <n v="4"/>
    <x v="1"/>
    <n v="119"/>
    <n v="67"/>
    <n v="476"/>
    <n v="268"/>
    <n v="208"/>
    <n v="0.436974789915966"/>
  </r>
  <r>
    <x v="118"/>
    <s v="SLIPPERS"/>
    <x v="7"/>
    <s v="Formal"/>
    <x v="0"/>
    <s v="Black"/>
    <x v="3"/>
    <x v="3"/>
    <x v="9"/>
    <n v="7"/>
    <x v="1"/>
    <n v="119"/>
    <n v="67"/>
    <n v="833"/>
    <n v="469"/>
    <n v="364"/>
    <n v="0.436974789915966"/>
  </r>
  <r>
    <x v="67"/>
    <s v="loafers"/>
    <x v="1"/>
    <s v="casual"/>
    <x v="2"/>
    <s v="Blue"/>
    <x v="3"/>
    <x v="3"/>
    <x v="2"/>
    <n v="14"/>
    <x v="1"/>
    <n v="54"/>
    <n v="28"/>
    <n v="756"/>
    <n v="392"/>
    <n v="364"/>
    <n v="0.48148148148148101"/>
  </r>
  <r>
    <x v="24"/>
    <s v="loafers"/>
    <x v="1"/>
    <s v="UTILITY"/>
    <x v="1"/>
    <s v="Red"/>
    <x v="0"/>
    <x v="0"/>
    <x v="12"/>
    <n v="12"/>
    <x v="0"/>
    <n v="54"/>
    <n v="28"/>
    <n v="648"/>
    <n v="336"/>
    <n v="312"/>
    <n v="0.48148148148148101"/>
  </r>
  <r>
    <x v="119"/>
    <s v="Derby"/>
    <x v="2"/>
    <s v="Formal"/>
    <x v="0"/>
    <s v="Red"/>
    <x v="3"/>
    <x v="3"/>
    <x v="3"/>
    <n v="11"/>
    <x v="1"/>
    <n v="32"/>
    <n v="14"/>
    <n v="352"/>
    <n v="154"/>
    <n v="198"/>
    <n v="0.5625"/>
  </r>
  <r>
    <x v="49"/>
    <s v="SLIPPERS"/>
    <x v="7"/>
    <s v="UTILITY"/>
    <x v="1"/>
    <s v="Green"/>
    <x v="3"/>
    <x v="3"/>
    <x v="3"/>
    <n v="4"/>
    <x v="0"/>
    <n v="119"/>
    <n v="67"/>
    <n v="476"/>
    <n v="268"/>
    <n v="208"/>
    <n v="0.436974789915966"/>
  </r>
  <r>
    <x v="120"/>
    <s v="OXFORD"/>
    <x v="5"/>
    <s v="Formal"/>
    <x v="0"/>
    <s v="Red"/>
    <x v="0"/>
    <x v="0"/>
    <x v="11"/>
    <n v="4"/>
    <x v="0"/>
    <n v="105"/>
    <n v="58"/>
    <n v="420"/>
    <n v="232"/>
    <n v="188"/>
    <n v="0.44761904761904803"/>
  </r>
  <r>
    <x v="97"/>
    <s v="Derby"/>
    <x v="2"/>
    <s v="Formal"/>
    <x v="0"/>
    <s v="Black"/>
    <x v="3"/>
    <x v="3"/>
    <x v="9"/>
    <n v="3"/>
    <x v="1"/>
    <n v="32"/>
    <n v="14"/>
    <n v="96"/>
    <n v="42"/>
    <n v="54"/>
    <n v="0.5625"/>
  </r>
  <r>
    <x v="39"/>
    <s v="BROGUES"/>
    <x v="6"/>
    <s v="casual"/>
    <x v="2"/>
    <s v="Brown"/>
    <x v="4"/>
    <x v="4"/>
    <x v="6"/>
    <n v="15"/>
    <x v="1"/>
    <n v="112"/>
    <n v="64"/>
    <n v="1680"/>
    <n v="960"/>
    <n v="720"/>
    <n v="0.42857142857142899"/>
  </r>
  <r>
    <x v="35"/>
    <s v="monk straps"/>
    <x v="0"/>
    <s v="UTILITY"/>
    <x v="1"/>
    <s v="Blue"/>
    <x v="2"/>
    <x v="2"/>
    <x v="6"/>
    <n v="9"/>
    <x v="1"/>
    <n v="89"/>
    <n v="47"/>
    <n v="801"/>
    <n v="423"/>
    <n v="378"/>
    <n v="0.47191011235955099"/>
  </r>
  <r>
    <x v="82"/>
    <s v="Canvas"/>
    <x v="4"/>
    <s v="OPEN"/>
    <x v="3"/>
    <s v="Blue"/>
    <x v="3"/>
    <x v="3"/>
    <x v="5"/>
    <n v="12"/>
    <x v="0"/>
    <n v="128"/>
    <n v="72"/>
    <n v="1536"/>
    <n v="864"/>
    <n v="672"/>
    <n v="0.4375"/>
  </r>
  <r>
    <x v="121"/>
    <s v="BROGUES"/>
    <x v="6"/>
    <s v="OPEN"/>
    <x v="3"/>
    <s v="Blue"/>
    <x v="3"/>
    <x v="3"/>
    <x v="4"/>
    <n v="5"/>
    <x v="2"/>
    <n v="112"/>
    <n v="64"/>
    <n v="560"/>
    <n v="320"/>
    <n v="240"/>
    <n v="0.42857142857142899"/>
  </r>
  <r>
    <x v="69"/>
    <s v="boots"/>
    <x v="3"/>
    <s v="Formal"/>
    <x v="0"/>
    <s v="Brown"/>
    <x v="1"/>
    <x v="1"/>
    <x v="7"/>
    <n v="4"/>
    <x v="3"/>
    <n v="76"/>
    <n v="39"/>
    <n v="304"/>
    <n v="156"/>
    <n v="148"/>
    <n v="0.48684210526315802"/>
  </r>
  <r>
    <x v="81"/>
    <s v="monk straps"/>
    <x v="0"/>
    <s v="UTILITY"/>
    <x v="1"/>
    <s v="Blue"/>
    <x v="3"/>
    <x v="3"/>
    <x v="13"/>
    <n v="10"/>
    <x v="1"/>
    <n v="89"/>
    <n v="47"/>
    <n v="890"/>
    <n v="470"/>
    <n v="420"/>
    <n v="0.47191011235955099"/>
  </r>
  <r>
    <x v="122"/>
    <s v="loafers"/>
    <x v="1"/>
    <s v="OPEN"/>
    <x v="3"/>
    <s v="Red"/>
    <x v="2"/>
    <x v="2"/>
    <x v="4"/>
    <n v="4"/>
    <x v="3"/>
    <n v="54"/>
    <n v="28"/>
    <n v="216"/>
    <n v="112"/>
    <n v="104"/>
    <n v="0.48148148148148101"/>
  </r>
  <r>
    <x v="91"/>
    <s v="BROGUES"/>
    <x v="6"/>
    <s v="casual"/>
    <x v="2"/>
    <s v="Green"/>
    <x v="1"/>
    <x v="1"/>
    <x v="5"/>
    <n v="1"/>
    <x v="0"/>
    <n v="112"/>
    <n v="64"/>
    <n v="112"/>
    <n v="64"/>
    <n v="48"/>
    <n v="0.42857142857142899"/>
  </r>
  <r>
    <x v="123"/>
    <s v="monk straps"/>
    <x v="0"/>
    <s v="Formal"/>
    <x v="0"/>
    <s v="Blue"/>
    <x v="1"/>
    <x v="1"/>
    <x v="9"/>
    <n v="13"/>
    <x v="1"/>
    <n v="89"/>
    <n v="47"/>
    <n v="1157"/>
    <n v="611"/>
    <n v="546"/>
    <n v="0.47191011235955099"/>
  </r>
  <r>
    <x v="24"/>
    <s v="loafers"/>
    <x v="1"/>
    <s v="OPEN"/>
    <x v="3"/>
    <s v="Brown"/>
    <x v="1"/>
    <x v="1"/>
    <x v="13"/>
    <n v="7"/>
    <x v="1"/>
    <n v="54"/>
    <n v="28"/>
    <n v="378"/>
    <n v="196"/>
    <n v="182"/>
    <n v="0.48148148148148101"/>
  </r>
  <r>
    <x v="71"/>
    <s v="Derby"/>
    <x v="2"/>
    <s v="Formal"/>
    <x v="0"/>
    <s v="Brown"/>
    <x v="1"/>
    <x v="1"/>
    <x v="6"/>
    <n v="10"/>
    <x v="2"/>
    <n v="32"/>
    <n v="14"/>
    <n v="320"/>
    <n v="140"/>
    <n v="180"/>
    <n v="0.5625"/>
  </r>
  <r>
    <x v="124"/>
    <s v="monk straps"/>
    <x v="0"/>
    <s v="Formal"/>
    <x v="0"/>
    <s v="Brown"/>
    <x v="3"/>
    <x v="3"/>
    <x v="11"/>
    <n v="5"/>
    <x v="2"/>
    <n v="89"/>
    <n v="47"/>
    <n v="445"/>
    <n v="235"/>
    <n v="210"/>
    <n v="0.47191011235955099"/>
  </r>
  <r>
    <x v="125"/>
    <s v="boots"/>
    <x v="3"/>
    <s v="casual"/>
    <x v="2"/>
    <s v="Red"/>
    <x v="1"/>
    <x v="1"/>
    <x v="6"/>
    <n v="2"/>
    <x v="3"/>
    <n v="76"/>
    <n v="39"/>
    <n v="152"/>
    <n v="78"/>
    <n v="74"/>
    <n v="0.48684210526315802"/>
  </r>
  <r>
    <x v="113"/>
    <s v="Derby"/>
    <x v="2"/>
    <s v="casual"/>
    <x v="2"/>
    <s v="Brown"/>
    <x v="1"/>
    <x v="1"/>
    <x v="3"/>
    <n v="8"/>
    <x v="1"/>
    <n v="32"/>
    <n v="14"/>
    <n v="256"/>
    <n v="112"/>
    <n v="144"/>
    <n v="0.5625"/>
  </r>
  <r>
    <x v="81"/>
    <s v="BROGUES"/>
    <x v="6"/>
    <s v="Formal"/>
    <x v="0"/>
    <s v="Brown"/>
    <x v="3"/>
    <x v="3"/>
    <x v="8"/>
    <n v="4"/>
    <x v="1"/>
    <n v="112"/>
    <n v="64"/>
    <n v="448"/>
    <n v="256"/>
    <n v="192"/>
    <n v="0.42857142857142899"/>
  </r>
  <r>
    <x v="126"/>
    <s v="loafers"/>
    <x v="1"/>
    <s v="casual"/>
    <x v="2"/>
    <s v="Red"/>
    <x v="4"/>
    <x v="4"/>
    <x v="8"/>
    <n v="10"/>
    <x v="1"/>
    <n v="54"/>
    <n v="28"/>
    <n v="540"/>
    <n v="280"/>
    <n v="260"/>
    <n v="0.48148148148148101"/>
  </r>
  <r>
    <x v="127"/>
    <s v="BROGUES"/>
    <x v="6"/>
    <s v="UTILITY"/>
    <x v="1"/>
    <s v="Green"/>
    <x v="1"/>
    <x v="1"/>
    <x v="11"/>
    <n v="12"/>
    <x v="0"/>
    <n v="112"/>
    <n v="64"/>
    <n v="1344"/>
    <n v="768"/>
    <n v="576"/>
    <n v="0.42857142857142899"/>
  </r>
  <r>
    <x v="69"/>
    <s v="boots"/>
    <x v="3"/>
    <s v="Formal"/>
    <x v="0"/>
    <s v="Green"/>
    <x v="3"/>
    <x v="3"/>
    <x v="0"/>
    <n v="4"/>
    <x v="1"/>
    <n v="76"/>
    <n v="39"/>
    <n v="304"/>
    <n v="156"/>
    <n v="148"/>
    <n v="0.48684210526315802"/>
  </r>
  <r>
    <x v="25"/>
    <s v="boots"/>
    <x v="3"/>
    <s v="Formal"/>
    <x v="0"/>
    <s v="Brown"/>
    <x v="3"/>
    <x v="3"/>
    <x v="5"/>
    <n v="6"/>
    <x v="2"/>
    <n v="76"/>
    <n v="39"/>
    <n v="456"/>
    <n v="234"/>
    <n v="222"/>
    <n v="0.48684210526315802"/>
  </r>
  <r>
    <x v="128"/>
    <s v="BROGUES"/>
    <x v="6"/>
    <s v="Formal"/>
    <x v="0"/>
    <s v="Red"/>
    <x v="0"/>
    <x v="0"/>
    <x v="2"/>
    <n v="4"/>
    <x v="1"/>
    <n v="112"/>
    <n v="64"/>
    <n v="448"/>
    <n v="256"/>
    <n v="192"/>
    <n v="0.42857142857142899"/>
  </r>
  <r>
    <x v="129"/>
    <s v="Derby"/>
    <x v="2"/>
    <s v="Formal"/>
    <x v="0"/>
    <s v="Green"/>
    <x v="2"/>
    <x v="2"/>
    <x v="0"/>
    <n v="5"/>
    <x v="1"/>
    <n v="32"/>
    <n v="14"/>
    <n v="160"/>
    <n v="70"/>
    <n v="90"/>
    <n v="0.5625"/>
  </r>
  <r>
    <x v="11"/>
    <s v="loafers"/>
    <x v="1"/>
    <s v="casual"/>
    <x v="2"/>
    <s v="Green"/>
    <x v="1"/>
    <x v="1"/>
    <x v="5"/>
    <n v="5"/>
    <x v="1"/>
    <n v="54"/>
    <n v="28"/>
    <n v="270"/>
    <n v="140"/>
    <n v="130"/>
    <n v="0.48148148148148101"/>
  </r>
  <r>
    <x v="87"/>
    <s v="Canvas"/>
    <x v="4"/>
    <s v="OPEN"/>
    <x v="3"/>
    <s v="Black"/>
    <x v="2"/>
    <x v="2"/>
    <x v="13"/>
    <n v="11"/>
    <x v="0"/>
    <n v="128"/>
    <n v="72"/>
    <n v="1408"/>
    <n v="792"/>
    <n v="616"/>
    <n v="0.4375"/>
  </r>
  <r>
    <x v="76"/>
    <s v="Canvas"/>
    <x v="4"/>
    <s v="OPEN"/>
    <x v="3"/>
    <s v="Black"/>
    <x v="4"/>
    <x v="4"/>
    <x v="0"/>
    <n v="3"/>
    <x v="0"/>
    <n v="128"/>
    <n v="72"/>
    <n v="384"/>
    <n v="216"/>
    <n v="168"/>
    <n v="0.4375"/>
  </r>
  <r>
    <x v="130"/>
    <s v="monk straps"/>
    <x v="0"/>
    <s v="Formal"/>
    <x v="0"/>
    <s v="Green"/>
    <x v="1"/>
    <x v="1"/>
    <x v="3"/>
    <n v="4"/>
    <x v="1"/>
    <n v="89"/>
    <n v="47"/>
    <n v="356"/>
    <n v="188"/>
    <n v="168"/>
    <n v="0.47191011235955099"/>
  </r>
  <r>
    <x v="71"/>
    <s v="OXFORD"/>
    <x v="5"/>
    <s v="casual"/>
    <x v="2"/>
    <s v="Blue"/>
    <x v="0"/>
    <x v="0"/>
    <x v="10"/>
    <n v="8"/>
    <x v="2"/>
    <n v="105"/>
    <n v="58"/>
    <n v="840"/>
    <n v="464"/>
    <n v="376"/>
    <n v="0.44761904761904803"/>
  </r>
  <r>
    <x v="65"/>
    <s v="Canvas"/>
    <x v="4"/>
    <s v="OPEN"/>
    <x v="3"/>
    <s v="Red"/>
    <x v="3"/>
    <x v="3"/>
    <x v="0"/>
    <n v="8"/>
    <x v="2"/>
    <n v="128"/>
    <n v="72"/>
    <n v="1024"/>
    <n v="576"/>
    <n v="448"/>
    <n v="0.4375"/>
  </r>
  <r>
    <x v="131"/>
    <s v="boots"/>
    <x v="3"/>
    <s v="Formal"/>
    <x v="0"/>
    <s v="Blue"/>
    <x v="3"/>
    <x v="3"/>
    <x v="1"/>
    <n v="8"/>
    <x v="2"/>
    <n v="76"/>
    <n v="39"/>
    <n v="608"/>
    <n v="312"/>
    <n v="296"/>
    <n v="0.48684210526315802"/>
  </r>
  <r>
    <x v="132"/>
    <s v="Derby"/>
    <x v="2"/>
    <s v="UTILITY"/>
    <x v="1"/>
    <s v="Red"/>
    <x v="3"/>
    <x v="3"/>
    <x v="0"/>
    <n v="6"/>
    <x v="1"/>
    <n v="32"/>
    <n v="14"/>
    <n v="192"/>
    <n v="84"/>
    <n v="108"/>
    <n v="0.5625"/>
  </r>
  <r>
    <x v="133"/>
    <s v="boots"/>
    <x v="3"/>
    <s v="casual"/>
    <x v="2"/>
    <s v="Brown"/>
    <x v="2"/>
    <x v="2"/>
    <x v="2"/>
    <n v="4"/>
    <x v="3"/>
    <n v="76"/>
    <n v="39"/>
    <n v="304"/>
    <n v="156"/>
    <n v="148"/>
    <n v="0.48684210526315802"/>
  </r>
  <r>
    <x v="134"/>
    <s v="monk straps"/>
    <x v="0"/>
    <s v="Formal"/>
    <x v="0"/>
    <s v="Blue"/>
    <x v="3"/>
    <x v="3"/>
    <x v="6"/>
    <n v="14"/>
    <x v="3"/>
    <n v="89"/>
    <n v="47"/>
    <n v="1246"/>
    <n v="658"/>
    <n v="588"/>
    <n v="0.47191011235955099"/>
  </r>
  <r>
    <x v="135"/>
    <s v="monk straps"/>
    <x v="0"/>
    <s v="Formal"/>
    <x v="0"/>
    <s v="Green"/>
    <x v="0"/>
    <x v="0"/>
    <x v="13"/>
    <n v="7"/>
    <x v="3"/>
    <n v="89"/>
    <n v="47"/>
    <n v="623"/>
    <n v="329"/>
    <n v="294"/>
    <n v="0.47191011235955099"/>
  </r>
  <r>
    <x v="136"/>
    <s v="BROGUES"/>
    <x v="6"/>
    <s v="Formal"/>
    <x v="0"/>
    <s v="Brown"/>
    <x v="2"/>
    <x v="2"/>
    <x v="8"/>
    <n v="8"/>
    <x v="0"/>
    <n v="112"/>
    <n v="64"/>
    <n v="896"/>
    <n v="512"/>
    <n v="384"/>
    <n v="0.42857142857142899"/>
  </r>
  <r>
    <x v="123"/>
    <s v="OXFORD"/>
    <x v="5"/>
    <s v="Formal"/>
    <x v="0"/>
    <s v="Black"/>
    <x v="1"/>
    <x v="1"/>
    <x v="5"/>
    <n v="12"/>
    <x v="1"/>
    <n v="105"/>
    <n v="58"/>
    <n v="1260"/>
    <n v="696"/>
    <n v="564"/>
    <n v="0.44761904761904803"/>
  </r>
  <r>
    <x v="137"/>
    <s v="SLIPPERS"/>
    <x v="7"/>
    <s v="Formal"/>
    <x v="0"/>
    <s v="Brown"/>
    <x v="4"/>
    <x v="4"/>
    <x v="3"/>
    <n v="8"/>
    <x v="1"/>
    <n v="119"/>
    <n v="67"/>
    <n v="952"/>
    <n v="536"/>
    <n v="416"/>
    <n v="0.436974789915966"/>
  </r>
  <r>
    <x v="138"/>
    <s v="OXFORD"/>
    <x v="5"/>
    <s v="OPEN"/>
    <x v="3"/>
    <s v="Red"/>
    <x v="0"/>
    <x v="0"/>
    <x v="11"/>
    <n v="11"/>
    <x v="2"/>
    <n v="105"/>
    <n v="58"/>
    <n v="1155"/>
    <n v="638"/>
    <n v="517"/>
    <n v="0.44761904761904803"/>
  </r>
  <r>
    <x v="119"/>
    <s v="boots"/>
    <x v="3"/>
    <s v="UTILITY"/>
    <x v="1"/>
    <s v="Brown"/>
    <x v="3"/>
    <x v="3"/>
    <x v="10"/>
    <n v="2"/>
    <x v="3"/>
    <n v="76"/>
    <n v="39"/>
    <n v="152"/>
    <n v="78"/>
    <n v="74"/>
    <n v="0.48684210526315802"/>
  </r>
  <r>
    <x v="57"/>
    <s v="SLIPPERS"/>
    <x v="7"/>
    <s v="Formal"/>
    <x v="0"/>
    <s v="Green"/>
    <x v="4"/>
    <x v="4"/>
    <x v="13"/>
    <n v="7"/>
    <x v="0"/>
    <n v="119"/>
    <n v="67"/>
    <n v="833"/>
    <n v="469"/>
    <n v="364"/>
    <n v="0.436974789915966"/>
  </r>
  <r>
    <x v="130"/>
    <s v="SLIPPERS"/>
    <x v="7"/>
    <s v="Formal"/>
    <x v="0"/>
    <s v="Blue"/>
    <x v="3"/>
    <x v="3"/>
    <x v="5"/>
    <n v="1"/>
    <x v="3"/>
    <n v="119"/>
    <n v="67"/>
    <n v="119"/>
    <n v="67"/>
    <n v="52"/>
    <n v="0.436974789915966"/>
  </r>
  <r>
    <x v="34"/>
    <s v="Derby"/>
    <x v="2"/>
    <s v="UTILITY"/>
    <x v="1"/>
    <s v="Blue"/>
    <x v="0"/>
    <x v="0"/>
    <x v="12"/>
    <n v="11"/>
    <x v="2"/>
    <n v="32"/>
    <n v="14"/>
    <n v="352"/>
    <n v="154"/>
    <n v="198"/>
    <n v="0.5625"/>
  </r>
  <r>
    <x v="9"/>
    <s v="BROGUES"/>
    <x v="6"/>
    <s v="casual"/>
    <x v="2"/>
    <s v="Brown"/>
    <x v="0"/>
    <x v="0"/>
    <x v="4"/>
    <n v="14"/>
    <x v="0"/>
    <n v="112"/>
    <n v="64"/>
    <n v="1568"/>
    <n v="896"/>
    <n v="672"/>
    <n v="0.42857142857142899"/>
  </r>
  <r>
    <x v="114"/>
    <s v="SLIPPERS"/>
    <x v="7"/>
    <s v="Formal"/>
    <x v="0"/>
    <s v="Brown"/>
    <x v="3"/>
    <x v="3"/>
    <x v="4"/>
    <n v="4"/>
    <x v="2"/>
    <n v="119"/>
    <n v="67"/>
    <n v="476"/>
    <n v="268"/>
    <n v="208"/>
    <n v="0.436974789915966"/>
  </r>
  <r>
    <x v="65"/>
    <s v="boots"/>
    <x v="3"/>
    <s v="Formal"/>
    <x v="0"/>
    <s v="Blue"/>
    <x v="1"/>
    <x v="1"/>
    <x v="7"/>
    <n v="5"/>
    <x v="1"/>
    <n v="76"/>
    <n v="39"/>
    <n v="380"/>
    <n v="195"/>
    <n v="185"/>
    <n v="0.48684210526315802"/>
  </r>
  <r>
    <x v="32"/>
    <s v="Canvas"/>
    <x v="4"/>
    <s v="Formal"/>
    <x v="0"/>
    <s v="Brown"/>
    <x v="1"/>
    <x v="1"/>
    <x v="1"/>
    <n v="5"/>
    <x v="3"/>
    <n v="128"/>
    <n v="72"/>
    <n v="640"/>
    <n v="360"/>
    <n v="280"/>
    <n v="0.4375"/>
  </r>
  <r>
    <x v="29"/>
    <s v="Derby"/>
    <x v="2"/>
    <s v="Formal"/>
    <x v="0"/>
    <s v="Green"/>
    <x v="3"/>
    <x v="3"/>
    <x v="5"/>
    <n v="15"/>
    <x v="0"/>
    <n v="32"/>
    <n v="14"/>
    <n v="480"/>
    <n v="210"/>
    <n v="270"/>
    <n v="0.5625"/>
  </r>
  <r>
    <x v="54"/>
    <s v="boots"/>
    <x v="3"/>
    <s v="Formal"/>
    <x v="0"/>
    <s v="Brown"/>
    <x v="1"/>
    <x v="1"/>
    <x v="5"/>
    <n v="14"/>
    <x v="1"/>
    <n v="76"/>
    <n v="39"/>
    <n v="1064"/>
    <n v="546"/>
    <n v="518"/>
    <n v="0.48684210526315802"/>
  </r>
  <r>
    <x v="112"/>
    <s v="loafers"/>
    <x v="1"/>
    <s v="OPEN"/>
    <x v="3"/>
    <s v="Blue"/>
    <x v="2"/>
    <x v="2"/>
    <x v="0"/>
    <n v="6"/>
    <x v="3"/>
    <n v="54"/>
    <n v="28"/>
    <n v="324"/>
    <n v="168"/>
    <n v="156"/>
    <n v="0.48148148148148101"/>
  </r>
  <r>
    <x v="84"/>
    <s v="Derby"/>
    <x v="2"/>
    <s v="casual"/>
    <x v="2"/>
    <s v="Brown"/>
    <x v="3"/>
    <x v="3"/>
    <x v="11"/>
    <n v="12"/>
    <x v="2"/>
    <n v="32"/>
    <n v="14"/>
    <n v="384"/>
    <n v="168"/>
    <n v="216"/>
    <n v="0.5625"/>
  </r>
  <r>
    <x v="139"/>
    <s v="SLIPPERS"/>
    <x v="7"/>
    <s v="casual"/>
    <x v="2"/>
    <s v="Black"/>
    <x v="1"/>
    <x v="1"/>
    <x v="5"/>
    <n v="9"/>
    <x v="2"/>
    <n v="119"/>
    <n v="67"/>
    <n v="1071"/>
    <n v="603"/>
    <n v="468"/>
    <n v="0.436974789915966"/>
  </r>
  <r>
    <x v="140"/>
    <s v="boots"/>
    <x v="3"/>
    <s v="UTILITY"/>
    <x v="1"/>
    <s v="Red"/>
    <x v="3"/>
    <x v="3"/>
    <x v="8"/>
    <n v="7"/>
    <x v="1"/>
    <n v="76"/>
    <n v="39"/>
    <n v="532"/>
    <n v="273"/>
    <n v="259"/>
    <n v="0.48684210526315802"/>
  </r>
  <r>
    <x v="141"/>
    <s v="BROGUES"/>
    <x v="6"/>
    <s v="casual"/>
    <x v="2"/>
    <s v="Blue"/>
    <x v="3"/>
    <x v="3"/>
    <x v="10"/>
    <n v="13"/>
    <x v="2"/>
    <n v="112"/>
    <n v="64"/>
    <n v="1456"/>
    <n v="832"/>
    <n v="624"/>
    <n v="0.42857142857142899"/>
  </r>
  <r>
    <x v="18"/>
    <s v="monk straps"/>
    <x v="0"/>
    <s v="UTILITY"/>
    <x v="1"/>
    <s v="Red"/>
    <x v="1"/>
    <x v="1"/>
    <x v="5"/>
    <n v="8"/>
    <x v="0"/>
    <n v="89"/>
    <n v="47"/>
    <n v="712"/>
    <n v="376"/>
    <n v="336"/>
    <n v="0.47191011235955099"/>
  </r>
  <r>
    <x v="70"/>
    <s v="loafers"/>
    <x v="1"/>
    <s v="Formal"/>
    <x v="0"/>
    <s v="Black"/>
    <x v="0"/>
    <x v="0"/>
    <x v="3"/>
    <n v="6"/>
    <x v="2"/>
    <n v="54"/>
    <n v="28"/>
    <n v="324"/>
    <n v="168"/>
    <n v="156"/>
    <n v="0.48148148148148101"/>
  </r>
  <r>
    <x v="142"/>
    <s v="OXFORD"/>
    <x v="5"/>
    <s v="Formal"/>
    <x v="0"/>
    <s v="Green"/>
    <x v="0"/>
    <x v="0"/>
    <x v="5"/>
    <n v="13"/>
    <x v="0"/>
    <n v="105"/>
    <n v="58"/>
    <n v="1365"/>
    <n v="754"/>
    <n v="611"/>
    <n v="0.44761904761904803"/>
  </r>
  <r>
    <x v="79"/>
    <s v="boots"/>
    <x v="3"/>
    <s v="Formal"/>
    <x v="0"/>
    <s v="Green"/>
    <x v="3"/>
    <x v="3"/>
    <x v="5"/>
    <n v="7"/>
    <x v="0"/>
    <n v="76"/>
    <n v="39"/>
    <n v="532"/>
    <n v="273"/>
    <n v="259"/>
    <n v="0.48684210526315802"/>
  </r>
  <r>
    <x v="104"/>
    <s v="OXFORD"/>
    <x v="5"/>
    <s v="OPEN"/>
    <x v="3"/>
    <s v="Green"/>
    <x v="0"/>
    <x v="0"/>
    <x v="4"/>
    <n v="9"/>
    <x v="0"/>
    <n v="105"/>
    <n v="58"/>
    <n v="945"/>
    <n v="522"/>
    <n v="423"/>
    <n v="0.44761904761904803"/>
  </r>
  <r>
    <x v="143"/>
    <s v="Derby"/>
    <x v="2"/>
    <s v="UTILITY"/>
    <x v="1"/>
    <s v="Brown"/>
    <x v="4"/>
    <x v="4"/>
    <x v="2"/>
    <n v="3"/>
    <x v="0"/>
    <n v="32"/>
    <n v="14"/>
    <n v="96"/>
    <n v="42"/>
    <n v="54"/>
    <n v="0.5625"/>
  </r>
  <r>
    <x v="144"/>
    <s v="monk straps"/>
    <x v="0"/>
    <s v="OPEN"/>
    <x v="3"/>
    <s v="Green"/>
    <x v="2"/>
    <x v="2"/>
    <x v="3"/>
    <n v="11"/>
    <x v="3"/>
    <n v="89"/>
    <n v="47"/>
    <n v="979"/>
    <n v="517"/>
    <n v="462"/>
    <n v="0.47191011235955099"/>
  </r>
  <r>
    <x v="43"/>
    <s v="Canvas"/>
    <x v="4"/>
    <s v="casual"/>
    <x v="2"/>
    <s v="Green"/>
    <x v="1"/>
    <x v="1"/>
    <x v="8"/>
    <n v="15"/>
    <x v="2"/>
    <n v="128"/>
    <n v="72"/>
    <n v="1920"/>
    <n v="1080"/>
    <n v="840"/>
    <n v="0.4375"/>
  </r>
  <r>
    <x v="145"/>
    <s v="monk straps"/>
    <x v="0"/>
    <s v="Formal"/>
    <x v="0"/>
    <s v="Green"/>
    <x v="3"/>
    <x v="3"/>
    <x v="3"/>
    <n v="9"/>
    <x v="1"/>
    <n v="89"/>
    <n v="47"/>
    <n v="801"/>
    <n v="423"/>
    <n v="378"/>
    <n v="0.47191011235955099"/>
  </r>
  <r>
    <x v="30"/>
    <s v="monk straps"/>
    <x v="0"/>
    <s v="Formal"/>
    <x v="0"/>
    <s v="Red"/>
    <x v="4"/>
    <x v="4"/>
    <x v="5"/>
    <n v="1"/>
    <x v="3"/>
    <n v="89"/>
    <n v="47"/>
    <n v="89"/>
    <n v="47"/>
    <n v="42"/>
    <n v="0.47191011235955099"/>
  </r>
  <r>
    <x v="146"/>
    <s v="Canvas"/>
    <x v="4"/>
    <s v="Formal"/>
    <x v="0"/>
    <s v="Blue"/>
    <x v="0"/>
    <x v="0"/>
    <x v="8"/>
    <n v="1"/>
    <x v="0"/>
    <n v="128"/>
    <n v="72"/>
    <n v="128"/>
    <n v="72"/>
    <n v="56"/>
    <n v="0.4375"/>
  </r>
  <r>
    <x v="147"/>
    <s v="OXFORD"/>
    <x v="5"/>
    <s v="UTILITY"/>
    <x v="1"/>
    <s v="Brown"/>
    <x v="4"/>
    <x v="4"/>
    <x v="10"/>
    <n v="7"/>
    <x v="2"/>
    <n v="105"/>
    <n v="58"/>
    <n v="735"/>
    <n v="406"/>
    <n v="329"/>
    <n v="0.44761904761904803"/>
  </r>
  <r>
    <x v="148"/>
    <s v="monk straps"/>
    <x v="0"/>
    <s v="Formal"/>
    <x v="0"/>
    <s v="Blue"/>
    <x v="1"/>
    <x v="1"/>
    <x v="0"/>
    <n v="13"/>
    <x v="1"/>
    <n v="89"/>
    <n v="47"/>
    <n v="1157"/>
    <n v="611"/>
    <n v="546"/>
    <n v="0.47191011235955099"/>
  </r>
  <r>
    <x v="46"/>
    <s v="OXFORD"/>
    <x v="5"/>
    <s v="Formal"/>
    <x v="0"/>
    <s v="Blue"/>
    <x v="1"/>
    <x v="1"/>
    <x v="4"/>
    <n v="15"/>
    <x v="1"/>
    <n v="105"/>
    <n v="58"/>
    <n v="1575"/>
    <n v="870"/>
    <n v="705"/>
    <n v="0.44761904761904803"/>
  </r>
  <r>
    <x v="25"/>
    <s v="OXFORD"/>
    <x v="5"/>
    <s v="Formal"/>
    <x v="0"/>
    <s v="Brown"/>
    <x v="3"/>
    <x v="3"/>
    <x v="2"/>
    <n v="9"/>
    <x v="3"/>
    <n v="105"/>
    <n v="58"/>
    <n v="945"/>
    <n v="522"/>
    <n v="423"/>
    <n v="0.44761904761904803"/>
  </r>
  <r>
    <x v="106"/>
    <s v="monk straps"/>
    <x v="0"/>
    <s v="UTILITY"/>
    <x v="1"/>
    <s v="Blue"/>
    <x v="1"/>
    <x v="1"/>
    <x v="6"/>
    <n v="15"/>
    <x v="2"/>
    <n v="89"/>
    <n v="47"/>
    <n v="1335"/>
    <n v="705"/>
    <n v="630"/>
    <n v="0.47191011235955099"/>
  </r>
  <r>
    <x v="149"/>
    <s v="Derby"/>
    <x v="2"/>
    <s v="Formal"/>
    <x v="0"/>
    <s v="Green"/>
    <x v="3"/>
    <x v="3"/>
    <x v="12"/>
    <n v="15"/>
    <x v="0"/>
    <n v="32"/>
    <n v="14"/>
    <n v="480"/>
    <n v="210"/>
    <n v="270"/>
    <n v="0.5625"/>
  </r>
  <r>
    <x v="150"/>
    <s v="SLIPPERS"/>
    <x v="7"/>
    <s v="Formal"/>
    <x v="0"/>
    <s v="Blue"/>
    <x v="3"/>
    <x v="3"/>
    <x v="8"/>
    <n v="13"/>
    <x v="3"/>
    <n v="119"/>
    <n v="67"/>
    <n v="1547"/>
    <n v="871"/>
    <n v="676"/>
    <n v="0.436974789915966"/>
  </r>
  <r>
    <x v="64"/>
    <s v="Derby"/>
    <x v="2"/>
    <s v="OPEN"/>
    <x v="3"/>
    <s v="Red"/>
    <x v="1"/>
    <x v="1"/>
    <x v="1"/>
    <n v="6"/>
    <x v="0"/>
    <n v="32"/>
    <n v="14"/>
    <n v="192"/>
    <n v="84"/>
    <n v="108"/>
    <n v="0.5625"/>
  </r>
  <r>
    <x v="70"/>
    <s v="monk straps"/>
    <x v="0"/>
    <s v="OPEN"/>
    <x v="3"/>
    <s v="Brown"/>
    <x v="2"/>
    <x v="2"/>
    <x v="5"/>
    <n v="6"/>
    <x v="3"/>
    <n v="89"/>
    <n v="47"/>
    <n v="534"/>
    <n v="282"/>
    <n v="252"/>
    <n v="0.47191011235955099"/>
  </r>
  <r>
    <x v="151"/>
    <s v="boots"/>
    <x v="3"/>
    <s v="Formal"/>
    <x v="0"/>
    <s v="Red"/>
    <x v="1"/>
    <x v="1"/>
    <x v="7"/>
    <n v="10"/>
    <x v="1"/>
    <n v="76"/>
    <n v="39"/>
    <n v="760"/>
    <n v="390"/>
    <n v="370"/>
    <n v="0.48684210526315802"/>
  </r>
  <r>
    <x v="93"/>
    <s v="Derby"/>
    <x v="2"/>
    <s v="OPEN"/>
    <x v="3"/>
    <s v="Green"/>
    <x v="1"/>
    <x v="1"/>
    <x v="9"/>
    <n v="4"/>
    <x v="3"/>
    <n v="32"/>
    <n v="14"/>
    <n v="128"/>
    <n v="56"/>
    <n v="72"/>
    <n v="0.5625"/>
  </r>
  <r>
    <x v="152"/>
    <s v="Derby"/>
    <x v="2"/>
    <s v="OPEN"/>
    <x v="3"/>
    <s v="Brown"/>
    <x v="0"/>
    <x v="0"/>
    <x v="12"/>
    <n v="7"/>
    <x v="3"/>
    <n v="32"/>
    <n v="14"/>
    <n v="224"/>
    <n v="98"/>
    <n v="126"/>
    <n v="0.5625"/>
  </r>
  <r>
    <x v="153"/>
    <s v="OXFORD"/>
    <x v="5"/>
    <s v="OPEN"/>
    <x v="3"/>
    <s v="Blue"/>
    <x v="1"/>
    <x v="1"/>
    <x v="5"/>
    <n v="10"/>
    <x v="1"/>
    <n v="105"/>
    <n v="58"/>
    <n v="1050"/>
    <n v="580"/>
    <n v="470"/>
    <n v="0.44761904761904803"/>
  </r>
  <r>
    <x v="141"/>
    <s v="Derby"/>
    <x v="2"/>
    <s v="Formal"/>
    <x v="0"/>
    <s v="Red"/>
    <x v="2"/>
    <x v="2"/>
    <x v="3"/>
    <n v="10"/>
    <x v="1"/>
    <n v="32"/>
    <n v="14"/>
    <n v="320"/>
    <n v="140"/>
    <n v="180"/>
    <n v="0.5625"/>
  </r>
  <r>
    <x v="149"/>
    <s v="loafers"/>
    <x v="1"/>
    <s v="Formal"/>
    <x v="0"/>
    <s v="Brown"/>
    <x v="1"/>
    <x v="1"/>
    <x v="1"/>
    <n v="15"/>
    <x v="3"/>
    <n v="54"/>
    <n v="28"/>
    <n v="810"/>
    <n v="420"/>
    <n v="390"/>
    <n v="0.48148148148148101"/>
  </r>
  <r>
    <x v="38"/>
    <s v="loafers"/>
    <x v="1"/>
    <s v="OPEN"/>
    <x v="3"/>
    <s v="Green"/>
    <x v="3"/>
    <x v="3"/>
    <x v="2"/>
    <n v="1"/>
    <x v="1"/>
    <n v="54"/>
    <n v="28"/>
    <n v="54"/>
    <n v="28"/>
    <n v="26"/>
    <n v="0.48148148148148101"/>
  </r>
  <r>
    <x v="121"/>
    <s v="Canvas"/>
    <x v="4"/>
    <s v="OPEN"/>
    <x v="3"/>
    <s v="Black"/>
    <x v="2"/>
    <x v="2"/>
    <x v="0"/>
    <n v="2"/>
    <x v="2"/>
    <n v="128"/>
    <n v="72"/>
    <n v="256"/>
    <n v="144"/>
    <n v="112"/>
    <n v="0.4375"/>
  </r>
  <r>
    <x v="154"/>
    <s v="OXFORD"/>
    <x v="5"/>
    <s v="OPEN"/>
    <x v="3"/>
    <s v="Blue"/>
    <x v="3"/>
    <x v="3"/>
    <x v="11"/>
    <n v="12"/>
    <x v="2"/>
    <n v="105"/>
    <n v="58"/>
    <n v="1260"/>
    <n v="696"/>
    <n v="564"/>
    <n v="0.44761904761904803"/>
  </r>
  <r>
    <x v="155"/>
    <s v="loafers"/>
    <x v="1"/>
    <s v="Formal"/>
    <x v="0"/>
    <s v="Brown"/>
    <x v="0"/>
    <x v="0"/>
    <x v="7"/>
    <n v="15"/>
    <x v="0"/>
    <n v="54"/>
    <n v="28"/>
    <n v="810"/>
    <n v="420"/>
    <n v="390"/>
    <n v="0.48148148148148101"/>
  </r>
  <r>
    <x v="93"/>
    <s v="Derby"/>
    <x v="2"/>
    <s v="Formal"/>
    <x v="0"/>
    <s v="Blue"/>
    <x v="2"/>
    <x v="2"/>
    <x v="7"/>
    <n v="13"/>
    <x v="3"/>
    <n v="32"/>
    <n v="14"/>
    <n v="416"/>
    <n v="182"/>
    <n v="234"/>
    <n v="0.5625"/>
  </r>
  <r>
    <x v="42"/>
    <s v="SLIPPERS"/>
    <x v="7"/>
    <s v="OPEN"/>
    <x v="3"/>
    <s v="Green"/>
    <x v="1"/>
    <x v="1"/>
    <x v="0"/>
    <n v="3"/>
    <x v="2"/>
    <n v="119"/>
    <n v="67"/>
    <n v="357"/>
    <n v="201"/>
    <n v="156"/>
    <n v="0.436974789915966"/>
  </r>
  <r>
    <x v="156"/>
    <s v="monk straps"/>
    <x v="0"/>
    <s v="Formal"/>
    <x v="0"/>
    <s v="Blue"/>
    <x v="2"/>
    <x v="2"/>
    <x v="12"/>
    <n v="3"/>
    <x v="2"/>
    <n v="89"/>
    <n v="47"/>
    <n v="267"/>
    <n v="141"/>
    <n v="126"/>
    <n v="0.47191011235955099"/>
  </r>
  <r>
    <x v="11"/>
    <s v="SLIPPERS"/>
    <x v="7"/>
    <s v="Formal"/>
    <x v="0"/>
    <s v="Red"/>
    <x v="1"/>
    <x v="1"/>
    <x v="4"/>
    <n v="12"/>
    <x v="3"/>
    <n v="119"/>
    <n v="67"/>
    <n v="1428"/>
    <n v="804"/>
    <n v="624"/>
    <n v="0.436974789915966"/>
  </r>
  <r>
    <x v="1"/>
    <s v="Canvas"/>
    <x v="4"/>
    <s v="Formal"/>
    <x v="0"/>
    <s v="Blue"/>
    <x v="3"/>
    <x v="3"/>
    <x v="1"/>
    <n v="8"/>
    <x v="2"/>
    <n v="128"/>
    <n v="72"/>
    <n v="1024"/>
    <n v="576"/>
    <n v="448"/>
    <n v="0.4375"/>
  </r>
  <r>
    <x v="31"/>
    <s v="BROGUES"/>
    <x v="6"/>
    <s v="OPEN"/>
    <x v="3"/>
    <s v="Blue"/>
    <x v="2"/>
    <x v="2"/>
    <x v="12"/>
    <n v="4"/>
    <x v="0"/>
    <n v="112"/>
    <n v="64"/>
    <n v="448"/>
    <n v="256"/>
    <n v="192"/>
    <n v="0.42857142857142899"/>
  </r>
  <r>
    <x v="24"/>
    <s v="Derby"/>
    <x v="2"/>
    <s v="casual"/>
    <x v="2"/>
    <s v="Green"/>
    <x v="1"/>
    <x v="1"/>
    <x v="8"/>
    <n v="9"/>
    <x v="1"/>
    <n v="32"/>
    <n v="14"/>
    <n v="288"/>
    <n v="126"/>
    <n v="162"/>
    <n v="0.5625"/>
  </r>
  <r>
    <x v="13"/>
    <s v="Canvas"/>
    <x v="4"/>
    <s v="Formal"/>
    <x v="0"/>
    <s v="Black"/>
    <x v="1"/>
    <x v="1"/>
    <x v="1"/>
    <n v="7"/>
    <x v="2"/>
    <n v="128"/>
    <n v="72"/>
    <n v="896"/>
    <n v="504"/>
    <n v="392"/>
    <n v="0.4375"/>
  </r>
  <r>
    <x v="63"/>
    <s v="Canvas"/>
    <x v="4"/>
    <s v="Formal"/>
    <x v="0"/>
    <s v="Brown"/>
    <x v="1"/>
    <x v="1"/>
    <x v="4"/>
    <n v="8"/>
    <x v="0"/>
    <n v="128"/>
    <n v="72"/>
    <n v="1024"/>
    <n v="576"/>
    <n v="448"/>
    <n v="0.4375"/>
  </r>
  <r>
    <x v="157"/>
    <s v="BROGUES"/>
    <x v="6"/>
    <s v="Formal"/>
    <x v="0"/>
    <s v="Brown"/>
    <x v="1"/>
    <x v="1"/>
    <x v="13"/>
    <n v="6"/>
    <x v="0"/>
    <n v="112"/>
    <n v="64"/>
    <n v="672"/>
    <n v="384"/>
    <n v="288"/>
    <n v="0.42857142857142899"/>
  </r>
  <r>
    <x v="158"/>
    <s v="Canvas"/>
    <x v="4"/>
    <s v="Formal"/>
    <x v="0"/>
    <s v="Black"/>
    <x v="1"/>
    <x v="1"/>
    <x v="2"/>
    <n v="3"/>
    <x v="0"/>
    <n v="128"/>
    <n v="72"/>
    <n v="384"/>
    <n v="216"/>
    <n v="168"/>
    <n v="0.4375"/>
  </r>
  <r>
    <x v="159"/>
    <s v="OXFORD"/>
    <x v="5"/>
    <s v="UTILITY"/>
    <x v="1"/>
    <s v="Red"/>
    <x v="1"/>
    <x v="1"/>
    <x v="5"/>
    <n v="3"/>
    <x v="2"/>
    <n v="105"/>
    <n v="58"/>
    <n v="315"/>
    <n v="174"/>
    <n v="141"/>
    <n v="0.44761904761904803"/>
  </r>
  <r>
    <x v="160"/>
    <s v="Canvas"/>
    <x v="4"/>
    <s v="Formal"/>
    <x v="0"/>
    <s v="Red"/>
    <x v="1"/>
    <x v="1"/>
    <x v="12"/>
    <n v="7"/>
    <x v="0"/>
    <n v="128"/>
    <n v="72"/>
    <n v="896"/>
    <n v="504"/>
    <n v="392"/>
    <n v="0.4375"/>
  </r>
  <r>
    <x v="15"/>
    <s v="SLIPPERS"/>
    <x v="7"/>
    <s v="Formal"/>
    <x v="0"/>
    <s v="Blue"/>
    <x v="1"/>
    <x v="1"/>
    <x v="12"/>
    <n v="5"/>
    <x v="3"/>
    <n v="119"/>
    <n v="67"/>
    <n v="595"/>
    <n v="335"/>
    <n v="260"/>
    <n v="0.436974789915966"/>
  </r>
  <r>
    <x v="92"/>
    <s v="SLIPPERS"/>
    <x v="7"/>
    <s v="casual"/>
    <x v="2"/>
    <s v="Red"/>
    <x v="1"/>
    <x v="1"/>
    <x v="9"/>
    <n v="3"/>
    <x v="1"/>
    <n v="119"/>
    <n v="67"/>
    <n v="357"/>
    <n v="201"/>
    <n v="156"/>
    <n v="0.436974789915966"/>
  </r>
  <r>
    <x v="161"/>
    <s v="OXFORD"/>
    <x v="5"/>
    <s v="OPEN"/>
    <x v="3"/>
    <s v="Red"/>
    <x v="1"/>
    <x v="1"/>
    <x v="0"/>
    <n v="12"/>
    <x v="1"/>
    <n v="105"/>
    <n v="58"/>
    <n v="1260"/>
    <n v="696"/>
    <n v="564"/>
    <n v="0.44761904761904803"/>
  </r>
  <r>
    <x v="87"/>
    <s v="Derby"/>
    <x v="2"/>
    <s v="Formal"/>
    <x v="0"/>
    <s v="Blue"/>
    <x v="1"/>
    <x v="1"/>
    <x v="3"/>
    <n v="9"/>
    <x v="1"/>
    <n v="32"/>
    <n v="14"/>
    <n v="288"/>
    <n v="126"/>
    <n v="162"/>
    <n v="0.5625"/>
  </r>
  <r>
    <x v="57"/>
    <s v="SLIPPERS"/>
    <x v="7"/>
    <s v="Formal"/>
    <x v="0"/>
    <s v="Red"/>
    <x v="1"/>
    <x v="1"/>
    <x v="6"/>
    <n v="3"/>
    <x v="3"/>
    <n v="119"/>
    <n v="67"/>
    <n v="357"/>
    <n v="201"/>
    <n v="156"/>
    <n v="0.436974789915966"/>
  </r>
  <r>
    <x v="58"/>
    <s v="OXFORD"/>
    <x v="5"/>
    <s v="Formal"/>
    <x v="0"/>
    <s v="Red"/>
    <x v="0"/>
    <x v="0"/>
    <x v="4"/>
    <n v="9"/>
    <x v="0"/>
    <n v="105"/>
    <n v="58"/>
    <n v="945"/>
    <n v="522"/>
    <n v="423"/>
    <n v="0.44761904761904803"/>
  </r>
  <r>
    <x v="34"/>
    <s v="BROGUES"/>
    <x v="6"/>
    <s v="Formal"/>
    <x v="0"/>
    <s v="Blue"/>
    <x v="3"/>
    <x v="3"/>
    <x v="3"/>
    <n v="2"/>
    <x v="1"/>
    <n v="112"/>
    <n v="64"/>
    <n v="224"/>
    <n v="128"/>
    <n v="96"/>
    <n v="0.42857142857142899"/>
  </r>
  <r>
    <x v="9"/>
    <s v="boots"/>
    <x v="3"/>
    <s v="casual"/>
    <x v="2"/>
    <s v="Blue"/>
    <x v="0"/>
    <x v="0"/>
    <x v="11"/>
    <n v="6"/>
    <x v="0"/>
    <n v="76"/>
    <n v="39"/>
    <n v="456"/>
    <n v="234"/>
    <n v="222"/>
    <n v="0.48684210526315802"/>
  </r>
  <r>
    <x v="25"/>
    <s v="OXFORD"/>
    <x v="5"/>
    <s v="Formal"/>
    <x v="0"/>
    <s v="Black"/>
    <x v="2"/>
    <x v="2"/>
    <x v="13"/>
    <n v="14"/>
    <x v="1"/>
    <n v="105"/>
    <n v="58"/>
    <n v="1470"/>
    <n v="812"/>
    <n v="658"/>
    <n v="0.44761904761904803"/>
  </r>
  <r>
    <x v="137"/>
    <s v="loafers"/>
    <x v="1"/>
    <s v="Formal"/>
    <x v="0"/>
    <s v="Red"/>
    <x v="3"/>
    <x v="3"/>
    <x v="11"/>
    <n v="7"/>
    <x v="2"/>
    <n v="54"/>
    <n v="28"/>
    <n v="378"/>
    <n v="196"/>
    <n v="182"/>
    <n v="0.48148148148148101"/>
  </r>
  <r>
    <x v="162"/>
    <s v="boots"/>
    <x v="3"/>
    <s v="OPEN"/>
    <x v="3"/>
    <s v="Red"/>
    <x v="3"/>
    <x v="3"/>
    <x v="12"/>
    <n v="8"/>
    <x v="3"/>
    <n v="76"/>
    <n v="39"/>
    <n v="608"/>
    <n v="312"/>
    <n v="296"/>
    <n v="0.48684210526315802"/>
  </r>
  <r>
    <x v="18"/>
    <s v="Derby"/>
    <x v="2"/>
    <s v="casual"/>
    <x v="2"/>
    <s v="Red"/>
    <x v="3"/>
    <x v="3"/>
    <x v="3"/>
    <n v="1"/>
    <x v="3"/>
    <n v="32"/>
    <n v="14"/>
    <n v="32"/>
    <n v="14"/>
    <n v="18"/>
    <n v="0.5625"/>
  </r>
  <r>
    <x v="27"/>
    <s v="loafers"/>
    <x v="1"/>
    <s v="Formal"/>
    <x v="0"/>
    <s v="Red"/>
    <x v="1"/>
    <x v="1"/>
    <x v="8"/>
    <n v="9"/>
    <x v="0"/>
    <n v="54"/>
    <n v="28"/>
    <n v="486"/>
    <n v="252"/>
    <n v="234"/>
    <n v="0.48148148148148101"/>
  </r>
  <r>
    <x v="100"/>
    <s v="Derby"/>
    <x v="2"/>
    <s v="casual"/>
    <x v="2"/>
    <s v="Red"/>
    <x v="3"/>
    <x v="3"/>
    <x v="8"/>
    <n v="1"/>
    <x v="2"/>
    <n v="32"/>
    <n v="14"/>
    <n v="32"/>
    <n v="14"/>
    <n v="18"/>
    <n v="0.5625"/>
  </r>
  <r>
    <x v="30"/>
    <s v="loafers"/>
    <x v="1"/>
    <s v="Formal"/>
    <x v="0"/>
    <s v="Red"/>
    <x v="0"/>
    <x v="0"/>
    <x v="7"/>
    <n v="14"/>
    <x v="2"/>
    <n v="54"/>
    <n v="28"/>
    <n v="756"/>
    <n v="392"/>
    <n v="364"/>
    <n v="0.48148148148148101"/>
  </r>
  <r>
    <x v="49"/>
    <s v="SLIPPERS"/>
    <x v="7"/>
    <s v="casual"/>
    <x v="2"/>
    <s v="Brown"/>
    <x v="2"/>
    <x v="2"/>
    <x v="4"/>
    <n v="7"/>
    <x v="1"/>
    <n v="119"/>
    <n v="67"/>
    <n v="833"/>
    <n v="469"/>
    <n v="364"/>
    <n v="0.436974789915966"/>
  </r>
  <r>
    <x v="163"/>
    <s v="boots"/>
    <x v="3"/>
    <s v="UTILITY"/>
    <x v="1"/>
    <s v="Black"/>
    <x v="1"/>
    <x v="1"/>
    <x v="2"/>
    <n v="6"/>
    <x v="0"/>
    <n v="76"/>
    <n v="39"/>
    <n v="456"/>
    <n v="234"/>
    <n v="222"/>
    <n v="0.48684210526315802"/>
  </r>
  <r>
    <x v="164"/>
    <s v="loafers"/>
    <x v="1"/>
    <s v="OPEN"/>
    <x v="3"/>
    <s v="Red"/>
    <x v="1"/>
    <x v="1"/>
    <x v="10"/>
    <n v="6"/>
    <x v="1"/>
    <n v="54"/>
    <n v="28"/>
    <n v="324"/>
    <n v="168"/>
    <n v="156"/>
    <n v="0.48148148148148101"/>
  </r>
  <r>
    <x v="0"/>
    <s v="OXFORD"/>
    <x v="5"/>
    <s v="casual"/>
    <x v="2"/>
    <s v="Red"/>
    <x v="1"/>
    <x v="1"/>
    <x v="10"/>
    <n v="4"/>
    <x v="0"/>
    <n v="105"/>
    <n v="58"/>
    <n v="420"/>
    <n v="232"/>
    <n v="188"/>
    <n v="0.44761904761904803"/>
  </r>
  <r>
    <x v="43"/>
    <s v="monk straps"/>
    <x v="0"/>
    <s v="UTILITY"/>
    <x v="1"/>
    <s v="Blue"/>
    <x v="4"/>
    <x v="4"/>
    <x v="8"/>
    <n v="12"/>
    <x v="2"/>
    <n v="89"/>
    <n v="47"/>
    <n v="1068"/>
    <n v="564"/>
    <n v="504"/>
    <n v="0.47191011235955099"/>
  </r>
  <r>
    <x v="99"/>
    <s v="boots"/>
    <x v="3"/>
    <s v="Formal"/>
    <x v="0"/>
    <s v="Blue"/>
    <x v="1"/>
    <x v="1"/>
    <x v="5"/>
    <n v="13"/>
    <x v="1"/>
    <n v="76"/>
    <n v="39"/>
    <n v="988"/>
    <n v="507"/>
    <n v="481"/>
    <n v="0.48684210526315802"/>
  </r>
  <r>
    <x v="49"/>
    <s v="loafers"/>
    <x v="1"/>
    <s v="Formal"/>
    <x v="0"/>
    <s v="Red"/>
    <x v="3"/>
    <x v="3"/>
    <x v="8"/>
    <n v="6"/>
    <x v="2"/>
    <n v="54"/>
    <n v="28"/>
    <n v="324"/>
    <n v="168"/>
    <n v="156"/>
    <n v="0.48148148148148101"/>
  </r>
  <r>
    <x v="37"/>
    <s v="BROGUES"/>
    <x v="6"/>
    <s v="Formal"/>
    <x v="0"/>
    <s v="Green"/>
    <x v="0"/>
    <x v="0"/>
    <x v="13"/>
    <n v="13"/>
    <x v="1"/>
    <n v="112"/>
    <n v="64"/>
    <n v="1456"/>
    <n v="832"/>
    <n v="624"/>
    <n v="0.42857142857142899"/>
  </r>
  <r>
    <x v="114"/>
    <s v="monk straps"/>
    <x v="0"/>
    <s v="Formal"/>
    <x v="0"/>
    <s v="Blue"/>
    <x v="0"/>
    <x v="0"/>
    <x v="7"/>
    <n v="5"/>
    <x v="2"/>
    <n v="89"/>
    <n v="47"/>
    <n v="445"/>
    <n v="235"/>
    <n v="210"/>
    <n v="0.47191011235955099"/>
  </r>
  <r>
    <x v="165"/>
    <s v="loafers"/>
    <x v="1"/>
    <s v="casual"/>
    <x v="2"/>
    <s v="Brown"/>
    <x v="3"/>
    <x v="3"/>
    <x v="1"/>
    <n v="2"/>
    <x v="1"/>
    <n v="54"/>
    <n v="28"/>
    <n v="108"/>
    <n v="56"/>
    <n v="52"/>
    <n v="0.48148148148148101"/>
  </r>
  <r>
    <x v="140"/>
    <s v="BROGUES"/>
    <x v="6"/>
    <s v="OPEN"/>
    <x v="3"/>
    <s v="Red"/>
    <x v="2"/>
    <x v="2"/>
    <x v="7"/>
    <n v="7"/>
    <x v="1"/>
    <n v="112"/>
    <n v="64"/>
    <n v="784"/>
    <n v="448"/>
    <n v="336"/>
    <n v="0.42857142857142899"/>
  </r>
  <r>
    <x v="17"/>
    <s v="monk straps"/>
    <x v="0"/>
    <s v="casual"/>
    <x v="2"/>
    <s v="Blue"/>
    <x v="0"/>
    <x v="0"/>
    <x v="8"/>
    <n v="9"/>
    <x v="2"/>
    <n v="89"/>
    <n v="47"/>
    <n v="801"/>
    <n v="423"/>
    <n v="378"/>
    <n v="0.47191011235955099"/>
  </r>
  <r>
    <x v="72"/>
    <s v="monk straps"/>
    <x v="0"/>
    <s v="Formal"/>
    <x v="0"/>
    <s v="Green"/>
    <x v="3"/>
    <x v="3"/>
    <x v="0"/>
    <n v="6"/>
    <x v="0"/>
    <n v="89"/>
    <n v="47"/>
    <n v="534"/>
    <n v="282"/>
    <n v="252"/>
    <n v="0.47191011235955099"/>
  </r>
  <r>
    <x v="26"/>
    <s v="BROGUES"/>
    <x v="6"/>
    <s v="OPEN"/>
    <x v="3"/>
    <s v="Black"/>
    <x v="2"/>
    <x v="2"/>
    <x v="13"/>
    <n v="10"/>
    <x v="3"/>
    <n v="112"/>
    <n v="64"/>
    <n v="1120"/>
    <n v="640"/>
    <n v="480"/>
    <n v="0.42857142857142899"/>
  </r>
  <r>
    <x v="122"/>
    <s v="Derby"/>
    <x v="2"/>
    <s v="OPEN"/>
    <x v="3"/>
    <s v="Brown"/>
    <x v="2"/>
    <x v="2"/>
    <x v="12"/>
    <n v="1"/>
    <x v="1"/>
    <n v="32"/>
    <n v="14"/>
    <n v="32"/>
    <n v="14"/>
    <n v="18"/>
    <n v="0.5625"/>
  </r>
  <r>
    <x v="146"/>
    <s v="OXFORD"/>
    <x v="5"/>
    <s v="casual"/>
    <x v="2"/>
    <s v="Brown"/>
    <x v="3"/>
    <x v="3"/>
    <x v="0"/>
    <n v="13"/>
    <x v="2"/>
    <n v="105"/>
    <n v="58"/>
    <n v="1365"/>
    <n v="754"/>
    <n v="611"/>
    <n v="0.44761904761904803"/>
  </r>
  <r>
    <x v="166"/>
    <s v="loafers"/>
    <x v="1"/>
    <s v="Formal"/>
    <x v="0"/>
    <s v="Brown"/>
    <x v="1"/>
    <x v="1"/>
    <x v="4"/>
    <n v="9"/>
    <x v="2"/>
    <n v="54"/>
    <n v="28"/>
    <n v="486"/>
    <n v="252"/>
    <n v="234"/>
    <n v="0.48148148148148101"/>
  </r>
  <r>
    <x v="155"/>
    <s v="SLIPPERS"/>
    <x v="7"/>
    <s v="casual"/>
    <x v="2"/>
    <s v="Green"/>
    <x v="1"/>
    <x v="1"/>
    <x v="2"/>
    <n v="15"/>
    <x v="2"/>
    <n v="119"/>
    <n v="67"/>
    <n v="1785"/>
    <n v="1005"/>
    <n v="780"/>
    <n v="0.436974789915966"/>
  </r>
  <r>
    <x v="124"/>
    <s v="Canvas"/>
    <x v="4"/>
    <s v="OPEN"/>
    <x v="3"/>
    <s v="Red"/>
    <x v="3"/>
    <x v="3"/>
    <x v="4"/>
    <n v="14"/>
    <x v="1"/>
    <n v="128"/>
    <n v="72"/>
    <n v="1792"/>
    <n v="1008"/>
    <n v="784"/>
    <n v="0.4375"/>
  </r>
  <r>
    <x v="132"/>
    <s v="monk straps"/>
    <x v="0"/>
    <s v="OPEN"/>
    <x v="3"/>
    <s v="Blue"/>
    <x v="1"/>
    <x v="1"/>
    <x v="5"/>
    <n v="15"/>
    <x v="1"/>
    <n v="89"/>
    <n v="47"/>
    <n v="1335"/>
    <n v="705"/>
    <n v="630"/>
    <n v="0.47191011235955099"/>
  </r>
  <r>
    <x v="167"/>
    <s v="OXFORD"/>
    <x v="5"/>
    <s v="Formal"/>
    <x v="0"/>
    <s v="Green"/>
    <x v="1"/>
    <x v="1"/>
    <x v="5"/>
    <n v="14"/>
    <x v="1"/>
    <n v="105"/>
    <n v="58"/>
    <n v="1470"/>
    <n v="812"/>
    <n v="658"/>
    <n v="0.44761904761904803"/>
  </r>
  <r>
    <x v="168"/>
    <s v="SLIPPERS"/>
    <x v="7"/>
    <s v="casual"/>
    <x v="2"/>
    <s v="Blue"/>
    <x v="1"/>
    <x v="1"/>
    <x v="12"/>
    <n v="6"/>
    <x v="2"/>
    <n v="119"/>
    <n v="67"/>
    <n v="714"/>
    <n v="402"/>
    <n v="312"/>
    <n v="0.436974789915966"/>
  </r>
  <r>
    <x v="137"/>
    <s v="loafers"/>
    <x v="1"/>
    <s v="UTILITY"/>
    <x v="1"/>
    <s v="Red"/>
    <x v="0"/>
    <x v="0"/>
    <x v="3"/>
    <n v="15"/>
    <x v="3"/>
    <n v="54"/>
    <n v="28"/>
    <n v="810"/>
    <n v="420"/>
    <n v="390"/>
    <n v="0.48148148148148101"/>
  </r>
  <r>
    <x v="62"/>
    <s v="boots"/>
    <x v="3"/>
    <s v="OPEN"/>
    <x v="3"/>
    <s v="Black"/>
    <x v="4"/>
    <x v="4"/>
    <x v="12"/>
    <n v="6"/>
    <x v="0"/>
    <n v="76"/>
    <n v="39"/>
    <n v="456"/>
    <n v="234"/>
    <n v="222"/>
    <n v="0.48684210526315802"/>
  </r>
  <r>
    <x v="169"/>
    <s v="Canvas"/>
    <x v="4"/>
    <s v="casual"/>
    <x v="2"/>
    <s v="Brown"/>
    <x v="3"/>
    <x v="3"/>
    <x v="5"/>
    <n v="10"/>
    <x v="0"/>
    <n v="128"/>
    <n v="72"/>
    <n v="1280"/>
    <n v="720"/>
    <n v="560"/>
    <n v="0.4375"/>
  </r>
  <r>
    <x v="57"/>
    <s v="OXFORD"/>
    <x v="5"/>
    <s v="casual"/>
    <x v="2"/>
    <s v="Blue"/>
    <x v="1"/>
    <x v="1"/>
    <x v="9"/>
    <n v="4"/>
    <x v="1"/>
    <n v="105"/>
    <n v="58"/>
    <n v="420"/>
    <n v="232"/>
    <n v="188"/>
    <n v="0.44761904761904803"/>
  </r>
  <r>
    <x v="170"/>
    <s v="loafers"/>
    <x v="1"/>
    <s v="Formal"/>
    <x v="0"/>
    <s v="Blue"/>
    <x v="3"/>
    <x v="3"/>
    <x v="9"/>
    <n v="11"/>
    <x v="3"/>
    <n v="54"/>
    <n v="28"/>
    <n v="594"/>
    <n v="308"/>
    <n v="286"/>
    <n v="0.48148148148148101"/>
  </r>
  <r>
    <x v="3"/>
    <s v="monk straps"/>
    <x v="0"/>
    <s v="casual"/>
    <x v="2"/>
    <s v="Brown"/>
    <x v="3"/>
    <x v="3"/>
    <x v="11"/>
    <n v="4"/>
    <x v="0"/>
    <n v="89"/>
    <n v="47"/>
    <n v="356"/>
    <n v="188"/>
    <n v="168"/>
    <n v="0.47191011235955099"/>
  </r>
  <r>
    <x v="84"/>
    <s v="BROGUES"/>
    <x v="6"/>
    <s v="casual"/>
    <x v="2"/>
    <s v="Blue"/>
    <x v="0"/>
    <x v="0"/>
    <x v="9"/>
    <n v="10"/>
    <x v="2"/>
    <n v="112"/>
    <n v="64"/>
    <n v="1120"/>
    <n v="640"/>
    <n v="480"/>
    <n v="0.42857142857142899"/>
  </r>
  <r>
    <x v="47"/>
    <s v="Derby"/>
    <x v="2"/>
    <s v="Formal"/>
    <x v="0"/>
    <s v="Black"/>
    <x v="4"/>
    <x v="4"/>
    <x v="9"/>
    <n v="3"/>
    <x v="2"/>
    <n v="32"/>
    <n v="14"/>
    <n v="96"/>
    <n v="42"/>
    <n v="54"/>
    <n v="0.5625"/>
  </r>
  <r>
    <x v="124"/>
    <s v="Derby"/>
    <x v="2"/>
    <s v="Formal"/>
    <x v="0"/>
    <s v="Black"/>
    <x v="1"/>
    <x v="1"/>
    <x v="4"/>
    <n v="5"/>
    <x v="2"/>
    <n v="32"/>
    <n v="14"/>
    <n v="160"/>
    <n v="70"/>
    <n v="90"/>
    <n v="0.5625"/>
  </r>
  <r>
    <x v="171"/>
    <s v="monk straps"/>
    <x v="0"/>
    <s v="Formal"/>
    <x v="0"/>
    <s v="Black"/>
    <x v="0"/>
    <x v="0"/>
    <x v="11"/>
    <n v="10"/>
    <x v="3"/>
    <n v="89"/>
    <n v="47"/>
    <n v="890"/>
    <n v="470"/>
    <n v="420"/>
    <n v="0.47191011235955099"/>
  </r>
  <r>
    <x v="70"/>
    <s v="monk straps"/>
    <x v="0"/>
    <s v="Formal"/>
    <x v="0"/>
    <s v="Green"/>
    <x v="1"/>
    <x v="1"/>
    <x v="12"/>
    <n v="5"/>
    <x v="3"/>
    <n v="89"/>
    <n v="47"/>
    <n v="445"/>
    <n v="235"/>
    <n v="210"/>
    <n v="0.47191011235955099"/>
  </r>
  <r>
    <x v="26"/>
    <s v="Canvas"/>
    <x v="4"/>
    <s v="casual"/>
    <x v="2"/>
    <s v="Green"/>
    <x v="1"/>
    <x v="1"/>
    <x v="8"/>
    <n v="7"/>
    <x v="0"/>
    <n v="128"/>
    <n v="72"/>
    <n v="896"/>
    <n v="504"/>
    <n v="392"/>
    <n v="0.4375"/>
  </r>
  <r>
    <x v="145"/>
    <s v="monk straps"/>
    <x v="0"/>
    <s v="Formal"/>
    <x v="0"/>
    <s v="Black"/>
    <x v="0"/>
    <x v="0"/>
    <x v="5"/>
    <n v="5"/>
    <x v="2"/>
    <n v="89"/>
    <n v="47"/>
    <n v="445"/>
    <n v="235"/>
    <n v="210"/>
    <n v="0.47191011235955099"/>
  </r>
  <r>
    <x v="172"/>
    <s v="Derby"/>
    <x v="2"/>
    <s v="casual"/>
    <x v="2"/>
    <s v="Green"/>
    <x v="1"/>
    <x v="1"/>
    <x v="13"/>
    <n v="4"/>
    <x v="2"/>
    <n v="32"/>
    <n v="14"/>
    <n v="128"/>
    <n v="56"/>
    <n v="72"/>
    <n v="0.5625"/>
  </r>
  <r>
    <x v="102"/>
    <s v="loafers"/>
    <x v="1"/>
    <s v="Formal"/>
    <x v="0"/>
    <s v="Red"/>
    <x v="1"/>
    <x v="1"/>
    <x v="10"/>
    <n v="10"/>
    <x v="0"/>
    <n v="54"/>
    <n v="28"/>
    <n v="540"/>
    <n v="280"/>
    <n v="260"/>
    <n v="0.48148148148148101"/>
  </r>
  <r>
    <x v="173"/>
    <s v="Derby"/>
    <x v="2"/>
    <s v="casual"/>
    <x v="2"/>
    <s v="Green"/>
    <x v="1"/>
    <x v="1"/>
    <x v="11"/>
    <n v="12"/>
    <x v="1"/>
    <n v="32"/>
    <n v="14"/>
    <n v="384"/>
    <n v="168"/>
    <n v="216"/>
    <n v="0.5625"/>
  </r>
  <r>
    <x v="138"/>
    <s v="Canvas"/>
    <x v="4"/>
    <s v="Formal"/>
    <x v="0"/>
    <s v="Red"/>
    <x v="1"/>
    <x v="1"/>
    <x v="5"/>
    <n v="8"/>
    <x v="0"/>
    <n v="128"/>
    <n v="72"/>
    <n v="1024"/>
    <n v="576"/>
    <n v="448"/>
    <n v="0.4375"/>
  </r>
  <r>
    <x v="23"/>
    <s v="OXFORD"/>
    <x v="5"/>
    <s v="Formal"/>
    <x v="0"/>
    <s v="Brown"/>
    <x v="2"/>
    <x v="2"/>
    <x v="0"/>
    <n v="4"/>
    <x v="3"/>
    <n v="105"/>
    <n v="58"/>
    <n v="420"/>
    <n v="232"/>
    <n v="188"/>
    <n v="0.44761904761904803"/>
  </r>
  <r>
    <x v="47"/>
    <s v="Canvas"/>
    <x v="4"/>
    <s v="OPEN"/>
    <x v="3"/>
    <s v="Green"/>
    <x v="1"/>
    <x v="1"/>
    <x v="10"/>
    <n v="13"/>
    <x v="0"/>
    <n v="128"/>
    <n v="72"/>
    <n v="1664"/>
    <n v="936"/>
    <n v="728"/>
    <n v="0.4375"/>
  </r>
  <r>
    <x v="28"/>
    <s v="boots"/>
    <x v="3"/>
    <s v="Formal"/>
    <x v="0"/>
    <s v="Brown"/>
    <x v="4"/>
    <x v="4"/>
    <x v="10"/>
    <n v="14"/>
    <x v="1"/>
    <n v="76"/>
    <n v="39"/>
    <n v="1064"/>
    <n v="546"/>
    <n v="518"/>
    <n v="0.48684210526315802"/>
  </r>
  <r>
    <x v="172"/>
    <s v="boots"/>
    <x v="3"/>
    <s v="UTILITY"/>
    <x v="1"/>
    <s v="Green"/>
    <x v="2"/>
    <x v="2"/>
    <x v="2"/>
    <n v="1"/>
    <x v="2"/>
    <n v="76"/>
    <n v="39"/>
    <n v="76"/>
    <n v="39"/>
    <n v="37"/>
    <n v="0.48684210526315802"/>
  </r>
  <r>
    <x v="152"/>
    <s v="BROGUES"/>
    <x v="6"/>
    <s v="Formal"/>
    <x v="0"/>
    <s v="Red"/>
    <x v="4"/>
    <x v="4"/>
    <x v="8"/>
    <n v="15"/>
    <x v="2"/>
    <n v="112"/>
    <n v="64"/>
    <n v="1680"/>
    <n v="960"/>
    <n v="720"/>
    <n v="0.42857142857142899"/>
  </r>
  <r>
    <x v="144"/>
    <s v="SLIPPERS"/>
    <x v="7"/>
    <s v="casual"/>
    <x v="2"/>
    <s v="Green"/>
    <x v="1"/>
    <x v="1"/>
    <x v="12"/>
    <n v="13"/>
    <x v="0"/>
    <n v="119"/>
    <n v="67"/>
    <n v="1547"/>
    <n v="871"/>
    <n v="676"/>
    <n v="0.436974789915966"/>
  </r>
  <r>
    <x v="126"/>
    <s v="Canvas"/>
    <x v="4"/>
    <s v="Formal"/>
    <x v="0"/>
    <s v="Blue"/>
    <x v="1"/>
    <x v="1"/>
    <x v="7"/>
    <n v="8"/>
    <x v="0"/>
    <n v="128"/>
    <n v="72"/>
    <n v="1024"/>
    <n v="576"/>
    <n v="448"/>
    <n v="0.4375"/>
  </r>
  <r>
    <x v="174"/>
    <s v="boots"/>
    <x v="3"/>
    <s v="UTILITY"/>
    <x v="1"/>
    <s v="Green"/>
    <x v="3"/>
    <x v="3"/>
    <x v="3"/>
    <n v="8"/>
    <x v="2"/>
    <n v="76"/>
    <n v="39"/>
    <n v="608"/>
    <n v="312"/>
    <n v="296"/>
    <n v="0.48684210526315802"/>
  </r>
  <r>
    <x v="26"/>
    <s v="BROGUES"/>
    <x v="6"/>
    <s v="UTILITY"/>
    <x v="1"/>
    <s v="Black"/>
    <x v="0"/>
    <x v="0"/>
    <x v="7"/>
    <n v="10"/>
    <x v="3"/>
    <n v="112"/>
    <n v="64"/>
    <n v="1120"/>
    <n v="640"/>
    <n v="480"/>
    <n v="0.42857142857142899"/>
  </r>
  <r>
    <x v="99"/>
    <s v="loafers"/>
    <x v="1"/>
    <s v="casual"/>
    <x v="2"/>
    <s v="Blue"/>
    <x v="1"/>
    <x v="1"/>
    <x v="0"/>
    <n v="14"/>
    <x v="2"/>
    <n v="54"/>
    <n v="28"/>
    <n v="756"/>
    <n v="392"/>
    <n v="364"/>
    <n v="0.48148148148148101"/>
  </r>
  <r>
    <x v="175"/>
    <s v="loafers"/>
    <x v="1"/>
    <s v="OPEN"/>
    <x v="3"/>
    <s v="Brown"/>
    <x v="3"/>
    <x v="3"/>
    <x v="13"/>
    <n v="1"/>
    <x v="2"/>
    <n v="54"/>
    <n v="28"/>
    <n v="54"/>
    <n v="28"/>
    <n v="26"/>
    <n v="0.48148148148148101"/>
  </r>
  <r>
    <x v="131"/>
    <s v="monk straps"/>
    <x v="0"/>
    <s v="casual"/>
    <x v="2"/>
    <s v="Red"/>
    <x v="2"/>
    <x v="2"/>
    <x v="3"/>
    <n v="11"/>
    <x v="1"/>
    <n v="89"/>
    <n v="47"/>
    <n v="979"/>
    <n v="517"/>
    <n v="462"/>
    <n v="0.47191011235955099"/>
  </r>
  <r>
    <x v="176"/>
    <s v="boots"/>
    <x v="3"/>
    <s v="UTILITY"/>
    <x v="1"/>
    <s v="Blue"/>
    <x v="2"/>
    <x v="2"/>
    <x v="0"/>
    <n v="8"/>
    <x v="1"/>
    <n v="76"/>
    <n v="39"/>
    <n v="608"/>
    <n v="312"/>
    <n v="296"/>
    <n v="0.48684210526315802"/>
  </r>
  <r>
    <x v="66"/>
    <s v="monk straps"/>
    <x v="0"/>
    <s v="UTILITY"/>
    <x v="1"/>
    <s v="Brown"/>
    <x v="1"/>
    <x v="1"/>
    <x v="8"/>
    <n v="13"/>
    <x v="2"/>
    <n v="89"/>
    <n v="47"/>
    <n v="1157"/>
    <n v="611"/>
    <n v="546"/>
    <n v="0.47191011235955099"/>
  </r>
  <r>
    <x v="177"/>
    <s v="SLIPPERS"/>
    <x v="7"/>
    <s v="UTILITY"/>
    <x v="1"/>
    <s v="Red"/>
    <x v="2"/>
    <x v="2"/>
    <x v="3"/>
    <n v="6"/>
    <x v="0"/>
    <n v="119"/>
    <n v="67"/>
    <n v="714"/>
    <n v="402"/>
    <n v="312"/>
    <n v="0.436974789915966"/>
  </r>
  <r>
    <x v="178"/>
    <s v="BROGUES"/>
    <x v="6"/>
    <s v="OPEN"/>
    <x v="3"/>
    <s v="Red"/>
    <x v="3"/>
    <x v="3"/>
    <x v="0"/>
    <n v="8"/>
    <x v="0"/>
    <n v="112"/>
    <n v="64"/>
    <n v="896"/>
    <n v="512"/>
    <n v="384"/>
    <n v="0.42857142857142899"/>
  </r>
  <r>
    <x v="21"/>
    <s v="loafers"/>
    <x v="1"/>
    <s v="Formal"/>
    <x v="0"/>
    <s v="Blue"/>
    <x v="0"/>
    <x v="0"/>
    <x v="5"/>
    <n v="13"/>
    <x v="3"/>
    <n v="54"/>
    <n v="28"/>
    <n v="702"/>
    <n v="364"/>
    <n v="338"/>
    <n v="0.48148148148148101"/>
  </r>
  <r>
    <x v="111"/>
    <s v="monk straps"/>
    <x v="0"/>
    <s v="Formal"/>
    <x v="0"/>
    <s v="Brown"/>
    <x v="3"/>
    <x v="3"/>
    <x v="6"/>
    <n v="6"/>
    <x v="0"/>
    <n v="89"/>
    <n v="47"/>
    <n v="534"/>
    <n v="282"/>
    <n v="252"/>
    <n v="0.47191011235955099"/>
  </r>
  <r>
    <x v="148"/>
    <s v="OXFORD"/>
    <x v="5"/>
    <s v="Formal"/>
    <x v="0"/>
    <s v="Brown"/>
    <x v="0"/>
    <x v="0"/>
    <x v="10"/>
    <n v="5"/>
    <x v="3"/>
    <n v="105"/>
    <n v="58"/>
    <n v="525"/>
    <n v="290"/>
    <n v="235"/>
    <n v="0.44761904761904803"/>
  </r>
  <r>
    <x v="76"/>
    <s v="Derby"/>
    <x v="2"/>
    <s v="OPEN"/>
    <x v="3"/>
    <s v="Black"/>
    <x v="0"/>
    <x v="0"/>
    <x v="11"/>
    <n v="4"/>
    <x v="3"/>
    <n v="32"/>
    <n v="14"/>
    <n v="128"/>
    <n v="56"/>
    <n v="72"/>
    <n v="0.5625"/>
  </r>
  <r>
    <x v="179"/>
    <s v="monk straps"/>
    <x v="0"/>
    <s v="UTILITY"/>
    <x v="1"/>
    <s v="Green"/>
    <x v="1"/>
    <x v="1"/>
    <x v="6"/>
    <n v="3"/>
    <x v="0"/>
    <n v="89"/>
    <n v="47"/>
    <n v="267"/>
    <n v="141"/>
    <n v="126"/>
    <n v="0.47191011235955099"/>
  </r>
  <r>
    <x v="4"/>
    <s v="SLIPPERS"/>
    <x v="7"/>
    <s v="Formal"/>
    <x v="0"/>
    <s v="Blue"/>
    <x v="1"/>
    <x v="1"/>
    <x v="5"/>
    <n v="5"/>
    <x v="1"/>
    <n v="119"/>
    <n v="67"/>
    <n v="595"/>
    <n v="335"/>
    <n v="260"/>
    <n v="0.436974789915966"/>
  </r>
  <r>
    <x v="142"/>
    <s v="Derby"/>
    <x v="2"/>
    <s v="Formal"/>
    <x v="0"/>
    <s v="Green"/>
    <x v="3"/>
    <x v="3"/>
    <x v="4"/>
    <n v="4"/>
    <x v="1"/>
    <n v="32"/>
    <n v="14"/>
    <n v="128"/>
    <n v="56"/>
    <n v="72"/>
    <n v="0.5625"/>
  </r>
  <r>
    <x v="178"/>
    <s v="Derby"/>
    <x v="2"/>
    <s v="casual"/>
    <x v="2"/>
    <s v="Brown"/>
    <x v="1"/>
    <x v="1"/>
    <x v="5"/>
    <n v="7"/>
    <x v="1"/>
    <n v="32"/>
    <n v="14"/>
    <n v="224"/>
    <n v="98"/>
    <n v="126"/>
    <n v="0.5625"/>
  </r>
  <r>
    <x v="48"/>
    <s v="loafers"/>
    <x v="1"/>
    <s v="UTILITY"/>
    <x v="1"/>
    <s v="Green"/>
    <x v="1"/>
    <x v="1"/>
    <x v="5"/>
    <n v="6"/>
    <x v="1"/>
    <n v="54"/>
    <n v="28"/>
    <n v="324"/>
    <n v="168"/>
    <n v="156"/>
    <n v="0.48148148148148101"/>
  </r>
  <r>
    <x v="180"/>
    <s v="Derby"/>
    <x v="2"/>
    <s v="Formal"/>
    <x v="0"/>
    <s v="Brown"/>
    <x v="3"/>
    <x v="3"/>
    <x v="7"/>
    <n v="7"/>
    <x v="2"/>
    <n v="32"/>
    <n v="14"/>
    <n v="224"/>
    <n v="98"/>
    <n v="126"/>
    <n v="0.5625"/>
  </r>
  <r>
    <x v="181"/>
    <s v="loafers"/>
    <x v="1"/>
    <s v="Formal"/>
    <x v="0"/>
    <s v="Blue"/>
    <x v="4"/>
    <x v="4"/>
    <x v="8"/>
    <n v="12"/>
    <x v="0"/>
    <n v="54"/>
    <n v="28"/>
    <n v="648"/>
    <n v="336"/>
    <n v="312"/>
    <n v="0.48148148148148101"/>
  </r>
  <r>
    <x v="32"/>
    <s v="SLIPPERS"/>
    <x v="7"/>
    <s v="casual"/>
    <x v="2"/>
    <s v="Green"/>
    <x v="3"/>
    <x v="3"/>
    <x v="8"/>
    <n v="10"/>
    <x v="3"/>
    <n v="119"/>
    <n v="67"/>
    <n v="1190"/>
    <n v="670"/>
    <n v="520"/>
    <n v="0.436974789915966"/>
  </r>
  <r>
    <x v="81"/>
    <s v="loafers"/>
    <x v="1"/>
    <s v="Formal"/>
    <x v="0"/>
    <s v="Brown"/>
    <x v="1"/>
    <x v="1"/>
    <x v="3"/>
    <n v="6"/>
    <x v="1"/>
    <n v="54"/>
    <n v="28"/>
    <n v="324"/>
    <n v="168"/>
    <n v="156"/>
    <n v="0.48148148148148101"/>
  </r>
  <r>
    <x v="110"/>
    <s v="Derby"/>
    <x v="2"/>
    <s v="Formal"/>
    <x v="0"/>
    <s v="Blue"/>
    <x v="2"/>
    <x v="2"/>
    <x v="3"/>
    <n v="15"/>
    <x v="2"/>
    <n v="32"/>
    <n v="14"/>
    <n v="480"/>
    <n v="210"/>
    <n v="270"/>
    <n v="0.5625"/>
  </r>
  <r>
    <x v="22"/>
    <s v="Canvas"/>
    <x v="4"/>
    <s v="Formal"/>
    <x v="0"/>
    <s v="Red"/>
    <x v="4"/>
    <x v="4"/>
    <x v="11"/>
    <n v="3"/>
    <x v="3"/>
    <n v="128"/>
    <n v="72"/>
    <n v="384"/>
    <n v="216"/>
    <n v="168"/>
    <n v="0.4375"/>
  </r>
  <r>
    <x v="69"/>
    <s v="SLIPPERS"/>
    <x v="7"/>
    <s v="casual"/>
    <x v="2"/>
    <s v="Black"/>
    <x v="2"/>
    <x v="2"/>
    <x v="2"/>
    <n v="1"/>
    <x v="1"/>
    <n v="119"/>
    <n v="67"/>
    <n v="119"/>
    <n v="67"/>
    <n v="52"/>
    <n v="0.436974789915966"/>
  </r>
  <r>
    <x v="77"/>
    <s v="Canvas"/>
    <x v="4"/>
    <s v="Formal"/>
    <x v="0"/>
    <s v="Black"/>
    <x v="1"/>
    <x v="1"/>
    <x v="8"/>
    <n v="9"/>
    <x v="0"/>
    <n v="128"/>
    <n v="72"/>
    <n v="1152"/>
    <n v="648"/>
    <n v="504"/>
    <n v="0.4375"/>
  </r>
  <r>
    <x v="1"/>
    <s v="OXFORD"/>
    <x v="5"/>
    <s v="Formal"/>
    <x v="0"/>
    <s v="Red"/>
    <x v="3"/>
    <x v="3"/>
    <x v="10"/>
    <n v="7"/>
    <x v="1"/>
    <n v="105"/>
    <n v="58"/>
    <n v="735"/>
    <n v="406"/>
    <n v="329"/>
    <n v="0.44761904761904803"/>
  </r>
  <r>
    <x v="182"/>
    <s v="monk straps"/>
    <x v="0"/>
    <s v="Formal"/>
    <x v="0"/>
    <s v="Brown"/>
    <x v="1"/>
    <x v="1"/>
    <x v="9"/>
    <n v="4"/>
    <x v="2"/>
    <n v="89"/>
    <n v="47"/>
    <n v="356"/>
    <n v="188"/>
    <n v="168"/>
    <n v="0.47191011235955099"/>
  </r>
  <r>
    <x v="183"/>
    <s v="SLIPPERS"/>
    <x v="7"/>
    <s v="OPEN"/>
    <x v="3"/>
    <s v="Brown"/>
    <x v="4"/>
    <x v="4"/>
    <x v="7"/>
    <n v="7"/>
    <x v="1"/>
    <n v="119"/>
    <n v="67"/>
    <n v="833"/>
    <n v="469"/>
    <n v="364"/>
    <n v="0.436974789915966"/>
  </r>
  <r>
    <x v="41"/>
    <s v="boots"/>
    <x v="3"/>
    <s v="casual"/>
    <x v="2"/>
    <s v="Green"/>
    <x v="2"/>
    <x v="2"/>
    <x v="13"/>
    <n v="10"/>
    <x v="3"/>
    <n v="76"/>
    <n v="39"/>
    <n v="760"/>
    <n v="390"/>
    <n v="370"/>
    <n v="0.48684210526315802"/>
  </r>
  <r>
    <x v="174"/>
    <s v="loafers"/>
    <x v="1"/>
    <s v="Formal"/>
    <x v="0"/>
    <s v="Brown"/>
    <x v="1"/>
    <x v="1"/>
    <x v="5"/>
    <n v="2"/>
    <x v="3"/>
    <n v="54"/>
    <n v="28"/>
    <n v="108"/>
    <n v="56"/>
    <n v="52"/>
    <n v="0.48148148148148101"/>
  </r>
  <r>
    <x v="175"/>
    <s v="BROGUES"/>
    <x v="6"/>
    <s v="casual"/>
    <x v="2"/>
    <s v="Blue"/>
    <x v="1"/>
    <x v="1"/>
    <x v="3"/>
    <n v="14"/>
    <x v="1"/>
    <n v="112"/>
    <n v="64"/>
    <n v="1568"/>
    <n v="896"/>
    <n v="672"/>
    <n v="0.42857142857142899"/>
  </r>
  <r>
    <x v="160"/>
    <s v="Canvas"/>
    <x v="4"/>
    <s v="casual"/>
    <x v="2"/>
    <s v="Blue"/>
    <x v="1"/>
    <x v="1"/>
    <x v="0"/>
    <n v="6"/>
    <x v="3"/>
    <n v="128"/>
    <n v="72"/>
    <n v="768"/>
    <n v="432"/>
    <n v="336"/>
    <n v="0.4375"/>
  </r>
  <r>
    <x v="36"/>
    <s v="OXFORD"/>
    <x v="5"/>
    <s v="casual"/>
    <x v="2"/>
    <s v="Blue"/>
    <x v="2"/>
    <x v="2"/>
    <x v="0"/>
    <n v="5"/>
    <x v="2"/>
    <n v="105"/>
    <n v="58"/>
    <n v="525"/>
    <n v="290"/>
    <n v="235"/>
    <n v="0.44761904761904803"/>
  </r>
  <r>
    <x v="162"/>
    <s v="BROGUES"/>
    <x v="6"/>
    <s v="casual"/>
    <x v="2"/>
    <s v="Green"/>
    <x v="2"/>
    <x v="2"/>
    <x v="0"/>
    <n v="4"/>
    <x v="0"/>
    <n v="112"/>
    <n v="64"/>
    <n v="448"/>
    <n v="256"/>
    <n v="192"/>
    <n v="0.42857142857142899"/>
  </r>
  <r>
    <x v="1"/>
    <s v="boots"/>
    <x v="3"/>
    <s v="casual"/>
    <x v="2"/>
    <s v="Blue"/>
    <x v="2"/>
    <x v="2"/>
    <x v="1"/>
    <n v="4"/>
    <x v="0"/>
    <n v="76"/>
    <n v="39"/>
    <n v="304"/>
    <n v="156"/>
    <n v="148"/>
    <n v="0.48684210526315802"/>
  </r>
  <r>
    <x v="151"/>
    <s v="OXFORD"/>
    <x v="5"/>
    <s v="Formal"/>
    <x v="0"/>
    <s v="Blue"/>
    <x v="0"/>
    <x v="0"/>
    <x v="3"/>
    <n v="10"/>
    <x v="2"/>
    <n v="105"/>
    <n v="58"/>
    <n v="1050"/>
    <n v="580"/>
    <n v="470"/>
    <n v="0.44761904761904803"/>
  </r>
  <r>
    <x v="29"/>
    <s v="monk straps"/>
    <x v="0"/>
    <s v="OPEN"/>
    <x v="3"/>
    <s v="Black"/>
    <x v="0"/>
    <x v="0"/>
    <x v="7"/>
    <n v="14"/>
    <x v="2"/>
    <n v="89"/>
    <n v="47"/>
    <n v="1246"/>
    <n v="658"/>
    <n v="588"/>
    <n v="0.47191011235955099"/>
  </r>
  <r>
    <x v="176"/>
    <s v="SLIPPERS"/>
    <x v="7"/>
    <s v="casual"/>
    <x v="2"/>
    <s v="Green"/>
    <x v="2"/>
    <x v="2"/>
    <x v="5"/>
    <n v="8"/>
    <x v="3"/>
    <n v="119"/>
    <n v="67"/>
    <n v="952"/>
    <n v="536"/>
    <n v="416"/>
    <n v="0.436974789915966"/>
  </r>
  <r>
    <x v="13"/>
    <s v="Canvas"/>
    <x v="4"/>
    <s v="Formal"/>
    <x v="0"/>
    <s v="Black"/>
    <x v="3"/>
    <x v="3"/>
    <x v="9"/>
    <n v="3"/>
    <x v="2"/>
    <n v="128"/>
    <n v="72"/>
    <n v="384"/>
    <n v="216"/>
    <n v="168"/>
    <n v="0.4375"/>
  </r>
  <r>
    <x v="156"/>
    <s v="Canvas"/>
    <x v="4"/>
    <s v="Formal"/>
    <x v="0"/>
    <s v="Black"/>
    <x v="1"/>
    <x v="1"/>
    <x v="11"/>
    <n v="13"/>
    <x v="0"/>
    <n v="128"/>
    <n v="72"/>
    <n v="1664"/>
    <n v="936"/>
    <n v="728"/>
    <n v="0.4375"/>
  </r>
  <r>
    <x v="52"/>
    <s v="Derby"/>
    <x v="2"/>
    <s v="Formal"/>
    <x v="0"/>
    <s v="Green"/>
    <x v="0"/>
    <x v="0"/>
    <x v="1"/>
    <n v="8"/>
    <x v="0"/>
    <n v="32"/>
    <n v="14"/>
    <n v="256"/>
    <n v="112"/>
    <n v="144"/>
    <n v="0.5625"/>
  </r>
  <r>
    <x v="34"/>
    <s v="loafers"/>
    <x v="1"/>
    <s v="casual"/>
    <x v="2"/>
    <s v="Green"/>
    <x v="2"/>
    <x v="2"/>
    <x v="11"/>
    <n v="6"/>
    <x v="0"/>
    <n v="54"/>
    <n v="28"/>
    <n v="324"/>
    <n v="168"/>
    <n v="156"/>
    <n v="0.48148148148148101"/>
  </r>
  <r>
    <x v="184"/>
    <s v="OXFORD"/>
    <x v="5"/>
    <s v="Formal"/>
    <x v="0"/>
    <s v="Red"/>
    <x v="3"/>
    <x v="3"/>
    <x v="6"/>
    <n v="14"/>
    <x v="2"/>
    <n v="105"/>
    <n v="58"/>
    <n v="1470"/>
    <n v="812"/>
    <n v="658"/>
    <n v="0.44761904761904803"/>
  </r>
  <r>
    <x v="16"/>
    <s v="SLIPPERS"/>
    <x v="7"/>
    <s v="casual"/>
    <x v="2"/>
    <s v="Blue"/>
    <x v="1"/>
    <x v="1"/>
    <x v="4"/>
    <n v="1"/>
    <x v="1"/>
    <n v="119"/>
    <n v="67"/>
    <n v="119"/>
    <n v="67"/>
    <n v="52"/>
    <n v="0.436974789915966"/>
  </r>
  <r>
    <x v="153"/>
    <s v="Canvas"/>
    <x v="4"/>
    <s v="Formal"/>
    <x v="0"/>
    <s v="Green"/>
    <x v="0"/>
    <x v="0"/>
    <x v="13"/>
    <n v="11"/>
    <x v="3"/>
    <n v="128"/>
    <n v="72"/>
    <n v="1408"/>
    <n v="792"/>
    <n v="616"/>
    <n v="0.4375"/>
  </r>
  <r>
    <x v="157"/>
    <s v="Derby"/>
    <x v="2"/>
    <s v="casual"/>
    <x v="2"/>
    <s v="Black"/>
    <x v="1"/>
    <x v="1"/>
    <x v="4"/>
    <n v="9"/>
    <x v="0"/>
    <n v="32"/>
    <n v="14"/>
    <n v="288"/>
    <n v="126"/>
    <n v="162"/>
    <n v="0.5625"/>
  </r>
  <r>
    <x v="103"/>
    <s v="BROGUES"/>
    <x v="6"/>
    <s v="Formal"/>
    <x v="0"/>
    <s v="Green"/>
    <x v="3"/>
    <x v="3"/>
    <x v="13"/>
    <n v="2"/>
    <x v="0"/>
    <n v="112"/>
    <n v="64"/>
    <n v="224"/>
    <n v="128"/>
    <n v="96"/>
    <n v="0.42857142857142899"/>
  </r>
  <r>
    <x v="137"/>
    <s v="monk straps"/>
    <x v="0"/>
    <s v="Formal"/>
    <x v="0"/>
    <s v="Brown"/>
    <x v="3"/>
    <x v="3"/>
    <x v="11"/>
    <n v="9"/>
    <x v="1"/>
    <n v="89"/>
    <n v="47"/>
    <n v="801"/>
    <n v="423"/>
    <n v="378"/>
    <n v="0.47191011235955099"/>
  </r>
  <r>
    <x v="49"/>
    <s v="SLIPPERS"/>
    <x v="7"/>
    <s v="Formal"/>
    <x v="0"/>
    <s v="Brown"/>
    <x v="3"/>
    <x v="3"/>
    <x v="13"/>
    <n v="8"/>
    <x v="1"/>
    <n v="119"/>
    <n v="67"/>
    <n v="952"/>
    <n v="536"/>
    <n v="416"/>
    <n v="0.436974789915966"/>
  </r>
  <r>
    <x v="102"/>
    <s v="boots"/>
    <x v="3"/>
    <s v="Formal"/>
    <x v="0"/>
    <s v="Green"/>
    <x v="0"/>
    <x v="0"/>
    <x v="3"/>
    <n v="9"/>
    <x v="0"/>
    <n v="76"/>
    <n v="39"/>
    <n v="684"/>
    <n v="351"/>
    <n v="333"/>
    <n v="0.48684210526315802"/>
  </r>
  <r>
    <x v="109"/>
    <s v="boots"/>
    <x v="3"/>
    <s v="Formal"/>
    <x v="0"/>
    <s v="Black"/>
    <x v="1"/>
    <x v="1"/>
    <x v="2"/>
    <n v="11"/>
    <x v="1"/>
    <n v="76"/>
    <n v="39"/>
    <n v="836"/>
    <n v="429"/>
    <n v="407"/>
    <n v="0.48684210526315802"/>
  </r>
  <r>
    <x v="124"/>
    <s v="OXFORD"/>
    <x v="5"/>
    <s v="UTILITY"/>
    <x v="1"/>
    <s v="Black"/>
    <x v="1"/>
    <x v="1"/>
    <x v="13"/>
    <n v="8"/>
    <x v="0"/>
    <n v="105"/>
    <n v="58"/>
    <n v="840"/>
    <n v="464"/>
    <n v="376"/>
    <n v="0.44761904761904803"/>
  </r>
  <r>
    <x v="17"/>
    <s v="Derby"/>
    <x v="2"/>
    <s v="OPEN"/>
    <x v="3"/>
    <s v="Green"/>
    <x v="3"/>
    <x v="3"/>
    <x v="8"/>
    <n v="7"/>
    <x v="2"/>
    <n v="32"/>
    <n v="14"/>
    <n v="224"/>
    <n v="98"/>
    <n v="126"/>
    <n v="0.5625"/>
  </r>
  <r>
    <x v="60"/>
    <s v="loafers"/>
    <x v="1"/>
    <s v="Formal"/>
    <x v="0"/>
    <s v="Red"/>
    <x v="4"/>
    <x v="4"/>
    <x v="7"/>
    <n v="8"/>
    <x v="2"/>
    <n v="54"/>
    <n v="28"/>
    <n v="432"/>
    <n v="224"/>
    <n v="208"/>
    <n v="0.48148148148148101"/>
  </r>
  <r>
    <x v="69"/>
    <s v="monk straps"/>
    <x v="0"/>
    <s v="UTILITY"/>
    <x v="1"/>
    <s v="Red"/>
    <x v="3"/>
    <x v="3"/>
    <x v="13"/>
    <n v="13"/>
    <x v="3"/>
    <n v="89"/>
    <n v="47"/>
    <n v="1157"/>
    <n v="611"/>
    <n v="546"/>
    <n v="0.47191011235955099"/>
  </r>
  <r>
    <x v="185"/>
    <s v="BROGUES"/>
    <x v="6"/>
    <s v="UTILITY"/>
    <x v="1"/>
    <s v="Brown"/>
    <x v="3"/>
    <x v="3"/>
    <x v="0"/>
    <n v="14"/>
    <x v="1"/>
    <n v="112"/>
    <n v="64"/>
    <n v="1568"/>
    <n v="896"/>
    <n v="672"/>
    <n v="0.42857142857142899"/>
  </r>
  <r>
    <x v="26"/>
    <s v="monk straps"/>
    <x v="0"/>
    <s v="OPEN"/>
    <x v="3"/>
    <s v="Brown"/>
    <x v="1"/>
    <x v="1"/>
    <x v="7"/>
    <n v="11"/>
    <x v="3"/>
    <n v="89"/>
    <n v="47"/>
    <n v="979"/>
    <n v="517"/>
    <n v="462"/>
    <n v="0.47191011235955099"/>
  </r>
  <r>
    <x v="186"/>
    <s v="boots"/>
    <x v="3"/>
    <s v="OPEN"/>
    <x v="3"/>
    <s v="Green"/>
    <x v="3"/>
    <x v="3"/>
    <x v="11"/>
    <n v="14"/>
    <x v="1"/>
    <n v="76"/>
    <n v="39"/>
    <n v="1064"/>
    <n v="546"/>
    <n v="518"/>
    <n v="0.48684210526315802"/>
  </r>
  <r>
    <x v="17"/>
    <s v="Canvas"/>
    <x v="4"/>
    <s v="Formal"/>
    <x v="0"/>
    <s v="Red"/>
    <x v="0"/>
    <x v="0"/>
    <x v="7"/>
    <n v="13"/>
    <x v="0"/>
    <n v="128"/>
    <n v="72"/>
    <n v="1664"/>
    <n v="936"/>
    <n v="728"/>
    <n v="0.4375"/>
  </r>
  <r>
    <x v="36"/>
    <s v="OXFORD"/>
    <x v="5"/>
    <s v="casual"/>
    <x v="2"/>
    <s v="Black"/>
    <x v="0"/>
    <x v="0"/>
    <x v="4"/>
    <n v="9"/>
    <x v="3"/>
    <n v="105"/>
    <n v="58"/>
    <n v="945"/>
    <n v="522"/>
    <n v="423"/>
    <n v="0.44761904761904803"/>
  </r>
  <r>
    <x v="187"/>
    <s v="OXFORD"/>
    <x v="5"/>
    <s v="UTILITY"/>
    <x v="1"/>
    <s v="Brown"/>
    <x v="2"/>
    <x v="2"/>
    <x v="11"/>
    <n v="6"/>
    <x v="3"/>
    <n v="105"/>
    <n v="58"/>
    <n v="630"/>
    <n v="348"/>
    <n v="282"/>
    <n v="0.44761904761904803"/>
  </r>
  <r>
    <x v="97"/>
    <s v="BROGUES"/>
    <x v="6"/>
    <s v="UTILITY"/>
    <x v="1"/>
    <s v="Blue"/>
    <x v="2"/>
    <x v="2"/>
    <x v="10"/>
    <n v="12"/>
    <x v="2"/>
    <n v="112"/>
    <n v="64"/>
    <n v="1344"/>
    <n v="768"/>
    <n v="576"/>
    <n v="0.42857142857142899"/>
  </r>
  <r>
    <x v="75"/>
    <s v="Canvas"/>
    <x v="4"/>
    <s v="OPEN"/>
    <x v="3"/>
    <s v="Green"/>
    <x v="0"/>
    <x v="0"/>
    <x v="2"/>
    <n v="7"/>
    <x v="0"/>
    <n v="128"/>
    <n v="72"/>
    <n v="896"/>
    <n v="504"/>
    <n v="392"/>
    <n v="0.4375"/>
  </r>
  <r>
    <x v="187"/>
    <s v="loafers"/>
    <x v="1"/>
    <s v="UTILITY"/>
    <x v="1"/>
    <s v="Blue"/>
    <x v="2"/>
    <x v="2"/>
    <x v="0"/>
    <n v="14"/>
    <x v="3"/>
    <n v="54"/>
    <n v="28"/>
    <n v="756"/>
    <n v="392"/>
    <n v="364"/>
    <n v="0.48148148148148101"/>
  </r>
  <r>
    <x v="179"/>
    <s v="boots"/>
    <x v="3"/>
    <s v="OPEN"/>
    <x v="3"/>
    <s v="Blue"/>
    <x v="1"/>
    <x v="1"/>
    <x v="11"/>
    <n v="8"/>
    <x v="3"/>
    <n v="76"/>
    <n v="39"/>
    <n v="608"/>
    <n v="312"/>
    <n v="296"/>
    <n v="0.48684210526315802"/>
  </r>
  <r>
    <x v="74"/>
    <s v="OXFORD"/>
    <x v="5"/>
    <s v="Formal"/>
    <x v="0"/>
    <s v="Red"/>
    <x v="3"/>
    <x v="3"/>
    <x v="9"/>
    <n v="3"/>
    <x v="0"/>
    <n v="105"/>
    <n v="58"/>
    <n v="315"/>
    <n v="174"/>
    <n v="141"/>
    <n v="0.44761904761904803"/>
  </r>
  <r>
    <x v="61"/>
    <s v="boots"/>
    <x v="3"/>
    <s v="Formal"/>
    <x v="0"/>
    <s v="Red"/>
    <x v="3"/>
    <x v="3"/>
    <x v="6"/>
    <n v="15"/>
    <x v="3"/>
    <n v="76"/>
    <n v="39"/>
    <n v="1140"/>
    <n v="585"/>
    <n v="555"/>
    <n v="0.48684210526315802"/>
  </r>
  <r>
    <x v="42"/>
    <s v="OXFORD"/>
    <x v="5"/>
    <s v="UTILITY"/>
    <x v="1"/>
    <s v="Brown"/>
    <x v="4"/>
    <x v="4"/>
    <x v="4"/>
    <n v="5"/>
    <x v="1"/>
    <n v="105"/>
    <n v="58"/>
    <n v="525"/>
    <n v="290"/>
    <n v="235"/>
    <n v="0.44761904761904803"/>
  </r>
  <r>
    <x v="65"/>
    <s v="OXFORD"/>
    <x v="5"/>
    <s v="UTILITY"/>
    <x v="1"/>
    <s v="Green"/>
    <x v="1"/>
    <x v="1"/>
    <x v="3"/>
    <n v="2"/>
    <x v="1"/>
    <n v="105"/>
    <n v="58"/>
    <n v="210"/>
    <n v="116"/>
    <n v="94"/>
    <n v="0.44761904761904803"/>
  </r>
  <r>
    <x v="187"/>
    <s v="Canvas"/>
    <x v="4"/>
    <s v="casual"/>
    <x v="2"/>
    <s v="Black"/>
    <x v="3"/>
    <x v="3"/>
    <x v="2"/>
    <n v="14"/>
    <x v="2"/>
    <n v="128"/>
    <n v="72"/>
    <n v="1792"/>
    <n v="1008"/>
    <n v="784"/>
    <n v="0.4375"/>
  </r>
  <r>
    <x v="64"/>
    <s v="Canvas"/>
    <x v="4"/>
    <s v="Formal"/>
    <x v="0"/>
    <s v="Brown"/>
    <x v="2"/>
    <x v="2"/>
    <x v="1"/>
    <n v="5"/>
    <x v="0"/>
    <n v="128"/>
    <n v="72"/>
    <n v="640"/>
    <n v="360"/>
    <n v="280"/>
    <n v="0.4375"/>
  </r>
  <r>
    <x v="188"/>
    <s v="BROGUES"/>
    <x v="6"/>
    <s v="Formal"/>
    <x v="0"/>
    <s v="Blue"/>
    <x v="1"/>
    <x v="1"/>
    <x v="8"/>
    <n v="13"/>
    <x v="3"/>
    <n v="112"/>
    <n v="64"/>
    <n v="1456"/>
    <n v="832"/>
    <n v="624"/>
    <n v="0.42857142857142899"/>
  </r>
  <r>
    <x v="2"/>
    <s v="Canvas"/>
    <x v="4"/>
    <s v="Formal"/>
    <x v="0"/>
    <s v="Green"/>
    <x v="2"/>
    <x v="2"/>
    <x v="3"/>
    <n v="3"/>
    <x v="0"/>
    <n v="128"/>
    <n v="72"/>
    <n v="384"/>
    <n v="216"/>
    <n v="168"/>
    <n v="0.4375"/>
  </r>
  <r>
    <x v="181"/>
    <s v="SLIPPERS"/>
    <x v="7"/>
    <s v="Formal"/>
    <x v="0"/>
    <s v="Green"/>
    <x v="1"/>
    <x v="1"/>
    <x v="12"/>
    <n v="8"/>
    <x v="1"/>
    <n v="119"/>
    <n v="67"/>
    <n v="952"/>
    <n v="536"/>
    <n v="416"/>
    <n v="0.436974789915966"/>
  </r>
  <r>
    <x v="154"/>
    <s v="SLIPPERS"/>
    <x v="7"/>
    <s v="UTILITY"/>
    <x v="1"/>
    <s v="Red"/>
    <x v="1"/>
    <x v="1"/>
    <x v="12"/>
    <n v="1"/>
    <x v="3"/>
    <n v="119"/>
    <n v="67"/>
    <n v="119"/>
    <n v="67"/>
    <n v="52"/>
    <n v="0.436974789915966"/>
  </r>
  <r>
    <x v="135"/>
    <s v="Derby"/>
    <x v="2"/>
    <s v="casual"/>
    <x v="2"/>
    <s v="Blue"/>
    <x v="4"/>
    <x v="4"/>
    <x v="3"/>
    <n v="5"/>
    <x v="2"/>
    <n v="32"/>
    <n v="14"/>
    <n v="160"/>
    <n v="70"/>
    <n v="90"/>
    <n v="0.5625"/>
  </r>
  <r>
    <x v="156"/>
    <s v="SLIPPERS"/>
    <x v="7"/>
    <s v="casual"/>
    <x v="2"/>
    <s v="Green"/>
    <x v="3"/>
    <x v="3"/>
    <x v="8"/>
    <n v="8"/>
    <x v="0"/>
    <n v="119"/>
    <n v="67"/>
    <n v="952"/>
    <n v="536"/>
    <n v="416"/>
    <n v="0.436974789915966"/>
  </r>
  <r>
    <x v="187"/>
    <s v="Derby"/>
    <x v="2"/>
    <s v="Formal"/>
    <x v="0"/>
    <s v="Blue"/>
    <x v="4"/>
    <x v="4"/>
    <x v="5"/>
    <n v="4"/>
    <x v="1"/>
    <n v="32"/>
    <n v="14"/>
    <n v="128"/>
    <n v="56"/>
    <n v="72"/>
    <n v="0.5625"/>
  </r>
  <r>
    <x v="189"/>
    <s v="monk straps"/>
    <x v="0"/>
    <s v="casual"/>
    <x v="2"/>
    <s v="Blue"/>
    <x v="1"/>
    <x v="1"/>
    <x v="3"/>
    <n v="4"/>
    <x v="1"/>
    <n v="89"/>
    <n v="47"/>
    <n v="356"/>
    <n v="188"/>
    <n v="168"/>
    <n v="0.47191011235955099"/>
  </r>
  <r>
    <x v="89"/>
    <s v="BROGUES"/>
    <x v="6"/>
    <s v="casual"/>
    <x v="2"/>
    <s v="Black"/>
    <x v="4"/>
    <x v="4"/>
    <x v="11"/>
    <n v="10"/>
    <x v="1"/>
    <n v="112"/>
    <n v="64"/>
    <n v="1120"/>
    <n v="640"/>
    <n v="480"/>
    <n v="0.42857142857142899"/>
  </r>
  <r>
    <x v="183"/>
    <s v="BROGUES"/>
    <x v="6"/>
    <s v="Formal"/>
    <x v="0"/>
    <s v="Red"/>
    <x v="3"/>
    <x v="3"/>
    <x v="0"/>
    <n v="8"/>
    <x v="2"/>
    <n v="112"/>
    <n v="64"/>
    <n v="896"/>
    <n v="512"/>
    <n v="384"/>
    <n v="0.42857142857142899"/>
  </r>
  <r>
    <x v="125"/>
    <s v="monk straps"/>
    <x v="0"/>
    <s v="casual"/>
    <x v="2"/>
    <s v="Green"/>
    <x v="0"/>
    <x v="0"/>
    <x v="3"/>
    <n v="5"/>
    <x v="0"/>
    <n v="89"/>
    <n v="47"/>
    <n v="445"/>
    <n v="235"/>
    <n v="210"/>
    <n v="0.47191011235955099"/>
  </r>
  <r>
    <x v="110"/>
    <s v="BROGUES"/>
    <x v="6"/>
    <s v="casual"/>
    <x v="2"/>
    <s v="Red"/>
    <x v="2"/>
    <x v="2"/>
    <x v="13"/>
    <n v="2"/>
    <x v="1"/>
    <n v="112"/>
    <n v="64"/>
    <n v="224"/>
    <n v="128"/>
    <n v="96"/>
    <n v="0.42857142857142899"/>
  </r>
  <r>
    <x v="190"/>
    <s v="Canvas"/>
    <x v="4"/>
    <s v="casual"/>
    <x v="2"/>
    <s v="Red"/>
    <x v="2"/>
    <x v="2"/>
    <x v="13"/>
    <n v="6"/>
    <x v="3"/>
    <n v="128"/>
    <n v="72"/>
    <n v="768"/>
    <n v="432"/>
    <n v="336"/>
    <n v="0.4375"/>
  </r>
  <r>
    <x v="191"/>
    <s v="BROGUES"/>
    <x v="6"/>
    <s v="casual"/>
    <x v="2"/>
    <s v="Blue"/>
    <x v="4"/>
    <x v="4"/>
    <x v="9"/>
    <n v="7"/>
    <x v="2"/>
    <n v="112"/>
    <n v="64"/>
    <n v="784"/>
    <n v="448"/>
    <n v="336"/>
    <n v="0.42857142857142899"/>
  </r>
  <r>
    <x v="176"/>
    <s v="boots"/>
    <x v="3"/>
    <s v="Formal"/>
    <x v="0"/>
    <s v="Green"/>
    <x v="3"/>
    <x v="3"/>
    <x v="6"/>
    <n v="3"/>
    <x v="1"/>
    <n v="76"/>
    <n v="39"/>
    <n v="228"/>
    <n v="117"/>
    <n v="111"/>
    <n v="0.48684210526315802"/>
  </r>
  <r>
    <x v="131"/>
    <s v="monk straps"/>
    <x v="0"/>
    <s v="Formal"/>
    <x v="0"/>
    <s v="Brown"/>
    <x v="1"/>
    <x v="1"/>
    <x v="13"/>
    <n v="5"/>
    <x v="0"/>
    <n v="89"/>
    <n v="47"/>
    <n v="445"/>
    <n v="235"/>
    <n v="210"/>
    <n v="0.47191011235955099"/>
  </r>
  <r>
    <x v="86"/>
    <s v="Derby"/>
    <x v="2"/>
    <s v="OPEN"/>
    <x v="3"/>
    <s v="Green"/>
    <x v="1"/>
    <x v="1"/>
    <x v="5"/>
    <n v="3"/>
    <x v="0"/>
    <n v="32"/>
    <n v="14"/>
    <n v="96"/>
    <n v="42"/>
    <n v="54"/>
    <n v="0.5625"/>
  </r>
  <r>
    <x v="41"/>
    <s v="BROGUES"/>
    <x v="6"/>
    <s v="OPEN"/>
    <x v="3"/>
    <s v="Red"/>
    <x v="2"/>
    <x v="2"/>
    <x v="9"/>
    <n v="7"/>
    <x v="2"/>
    <n v="112"/>
    <n v="64"/>
    <n v="784"/>
    <n v="448"/>
    <n v="336"/>
    <n v="0.42857142857142899"/>
  </r>
  <r>
    <x v="72"/>
    <s v="Derby"/>
    <x v="2"/>
    <s v="casual"/>
    <x v="2"/>
    <s v="Brown"/>
    <x v="1"/>
    <x v="1"/>
    <x v="6"/>
    <n v="3"/>
    <x v="0"/>
    <n v="32"/>
    <n v="14"/>
    <n v="96"/>
    <n v="42"/>
    <n v="54"/>
    <n v="0.5625"/>
  </r>
  <r>
    <x v="16"/>
    <s v="Canvas"/>
    <x v="4"/>
    <s v="Formal"/>
    <x v="0"/>
    <s v="Green"/>
    <x v="1"/>
    <x v="1"/>
    <x v="9"/>
    <n v="8"/>
    <x v="2"/>
    <n v="128"/>
    <n v="72"/>
    <n v="1024"/>
    <n v="576"/>
    <n v="448"/>
    <n v="0.4375"/>
  </r>
  <r>
    <x v="121"/>
    <s v="Derby"/>
    <x v="2"/>
    <s v="casual"/>
    <x v="2"/>
    <s v="Red"/>
    <x v="3"/>
    <x v="3"/>
    <x v="10"/>
    <n v="3"/>
    <x v="1"/>
    <n v="32"/>
    <n v="14"/>
    <n v="96"/>
    <n v="42"/>
    <n v="54"/>
    <n v="0.5625"/>
  </r>
  <r>
    <x v="49"/>
    <s v="SLIPPERS"/>
    <x v="7"/>
    <s v="UTILITY"/>
    <x v="1"/>
    <s v="Blue"/>
    <x v="4"/>
    <x v="4"/>
    <x v="5"/>
    <n v="5"/>
    <x v="2"/>
    <n v="119"/>
    <n v="67"/>
    <n v="595"/>
    <n v="335"/>
    <n v="260"/>
    <n v="0.436974789915966"/>
  </r>
  <r>
    <x v="148"/>
    <s v="monk straps"/>
    <x v="0"/>
    <s v="casual"/>
    <x v="2"/>
    <s v="Red"/>
    <x v="1"/>
    <x v="1"/>
    <x v="9"/>
    <n v="3"/>
    <x v="3"/>
    <n v="89"/>
    <n v="47"/>
    <n v="267"/>
    <n v="141"/>
    <n v="126"/>
    <n v="0.47191011235955099"/>
  </r>
  <r>
    <x v="151"/>
    <s v="OXFORD"/>
    <x v="5"/>
    <s v="Formal"/>
    <x v="0"/>
    <s v="Black"/>
    <x v="1"/>
    <x v="1"/>
    <x v="13"/>
    <n v="13"/>
    <x v="1"/>
    <n v="105"/>
    <n v="58"/>
    <n v="1365"/>
    <n v="754"/>
    <n v="611"/>
    <n v="0.44761904761904803"/>
  </r>
  <r>
    <x v="139"/>
    <s v="boots"/>
    <x v="3"/>
    <s v="casual"/>
    <x v="2"/>
    <s v="Red"/>
    <x v="1"/>
    <x v="1"/>
    <x v="8"/>
    <n v="12"/>
    <x v="2"/>
    <n v="76"/>
    <n v="39"/>
    <n v="912"/>
    <n v="468"/>
    <n v="444"/>
    <n v="0.48684210526315802"/>
  </r>
  <r>
    <x v="192"/>
    <s v="monk straps"/>
    <x v="0"/>
    <s v="casual"/>
    <x v="2"/>
    <s v="Black"/>
    <x v="1"/>
    <x v="1"/>
    <x v="5"/>
    <n v="3"/>
    <x v="1"/>
    <n v="89"/>
    <n v="47"/>
    <n v="267"/>
    <n v="141"/>
    <n v="126"/>
    <n v="0.47191011235955099"/>
  </r>
  <r>
    <x v="170"/>
    <s v="OXFORD"/>
    <x v="5"/>
    <s v="OPEN"/>
    <x v="3"/>
    <s v="Brown"/>
    <x v="1"/>
    <x v="1"/>
    <x v="2"/>
    <n v="2"/>
    <x v="2"/>
    <n v="105"/>
    <n v="58"/>
    <n v="210"/>
    <n v="116"/>
    <n v="94"/>
    <n v="0.44761904761904803"/>
  </r>
  <r>
    <x v="155"/>
    <s v="Canvas"/>
    <x v="4"/>
    <s v="Formal"/>
    <x v="0"/>
    <s v="Black"/>
    <x v="3"/>
    <x v="3"/>
    <x v="7"/>
    <n v="14"/>
    <x v="2"/>
    <n v="128"/>
    <n v="72"/>
    <n v="1792"/>
    <n v="1008"/>
    <n v="784"/>
    <n v="0.4375"/>
  </r>
  <r>
    <x v="87"/>
    <s v="BROGUES"/>
    <x v="6"/>
    <s v="Formal"/>
    <x v="0"/>
    <s v="Red"/>
    <x v="1"/>
    <x v="1"/>
    <x v="5"/>
    <n v="4"/>
    <x v="3"/>
    <n v="112"/>
    <n v="64"/>
    <n v="448"/>
    <n v="256"/>
    <n v="192"/>
    <n v="0.42857142857142899"/>
  </r>
  <r>
    <x v="193"/>
    <s v="loafers"/>
    <x v="1"/>
    <s v="Formal"/>
    <x v="0"/>
    <s v="Red"/>
    <x v="0"/>
    <x v="0"/>
    <x v="0"/>
    <n v="4"/>
    <x v="2"/>
    <n v="54"/>
    <n v="28"/>
    <n v="216"/>
    <n v="112"/>
    <n v="104"/>
    <n v="0.48148148148148101"/>
  </r>
  <r>
    <x v="38"/>
    <s v="boots"/>
    <x v="3"/>
    <s v="Formal"/>
    <x v="0"/>
    <s v="Brown"/>
    <x v="1"/>
    <x v="1"/>
    <x v="1"/>
    <n v="4"/>
    <x v="1"/>
    <n v="76"/>
    <n v="39"/>
    <n v="304"/>
    <n v="156"/>
    <n v="148"/>
    <n v="0.48684210526315802"/>
  </r>
  <r>
    <x v="134"/>
    <s v="SLIPPERS"/>
    <x v="7"/>
    <s v="OPEN"/>
    <x v="3"/>
    <s v="Black"/>
    <x v="0"/>
    <x v="0"/>
    <x v="0"/>
    <n v="1"/>
    <x v="2"/>
    <n v="119"/>
    <n v="67"/>
    <n v="119"/>
    <n v="67"/>
    <n v="52"/>
    <n v="0.436974789915966"/>
  </r>
  <r>
    <x v="194"/>
    <s v="boots"/>
    <x v="3"/>
    <s v="Formal"/>
    <x v="0"/>
    <s v="Red"/>
    <x v="3"/>
    <x v="3"/>
    <x v="13"/>
    <n v="5"/>
    <x v="2"/>
    <n v="76"/>
    <n v="39"/>
    <n v="380"/>
    <n v="195"/>
    <n v="185"/>
    <n v="0.48684210526315802"/>
  </r>
  <r>
    <x v="43"/>
    <s v="BROGUES"/>
    <x v="6"/>
    <s v="Formal"/>
    <x v="0"/>
    <s v="Brown"/>
    <x v="3"/>
    <x v="3"/>
    <x v="6"/>
    <n v="5"/>
    <x v="2"/>
    <n v="112"/>
    <n v="64"/>
    <n v="560"/>
    <n v="320"/>
    <n v="240"/>
    <n v="0.42857142857142899"/>
  </r>
  <r>
    <x v="173"/>
    <s v="BROGUES"/>
    <x v="6"/>
    <s v="Formal"/>
    <x v="0"/>
    <s v="Blue"/>
    <x v="4"/>
    <x v="4"/>
    <x v="4"/>
    <n v="3"/>
    <x v="2"/>
    <n v="112"/>
    <n v="64"/>
    <n v="336"/>
    <n v="192"/>
    <n v="144"/>
    <n v="0.42857142857142899"/>
  </r>
  <r>
    <x v="14"/>
    <s v="BROGUES"/>
    <x v="6"/>
    <s v="Formal"/>
    <x v="0"/>
    <s v="Blue"/>
    <x v="4"/>
    <x v="4"/>
    <x v="9"/>
    <n v="11"/>
    <x v="0"/>
    <n v="112"/>
    <n v="64"/>
    <n v="1232"/>
    <n v="704"/>
    <n v="528"/>
    <n v="0.42857142857142899"/>
  </r>
  <r>
    <x v="154"/>
    <s v="boots"/>
    <x v="3"/>
    <s v="casual"/>
    <x v="2"/>
    <s v="Black"/>
    <x v="1"/>
    <x v="1"/>
    <x v="13"/>
    <n v="9"/>
    <x v="3"/>
    <n v="76"/>
    <n v="39"/>
    <n v="684"/>
    <n v="351"/>
    <n v="333"/>
    <n v="0.48684210526315802"/>
  </r>
  <r>
    <x v="81"/>
    <s v="OXFORD"/>
    <x v="5"/>
    <s v="Formal"/>
    <x v="0"/>
    <s v="Blue"/>
    <x v="3"/>
    <x v="3"/>
    <x v="5"/>
    <n v="15"/>
    <x v="0"/>
    <n v="105"/>
    <n v="58"/>
    <n v="1575"/>
    <n v="870"/>
    <n v="705"/>
    <n v="0.44761904761904803"/>
  </r>
  <r>
    <x v="92"/>
    <s v="monk straps"/>
    <x v="0"/>
    <s v="casual"/>
    <x v="2"/>
    <s v="Blue"/>
    <x v="3"/>
    <x v="3"/>
    <x v="3"/>
    <n v="10"/>
    <x v="2"/>
    <n v="89"/>
    <n v="47"/>
    <n v="890"/>
    <n v="470"/>
    <n v="420"/>
    <n v="0.47191011235955099"/>
  </r>
  <r>
    <x v="133"/>
    <s v="SLIPPERS"/>
    <x v="7"/>
    <s v="Formal"/>
    <x v="0"/>
    <s v="Brown"/>
    <x v="3"/>
    <x v="3"/>
    <x v="7"/>
    <n v="5"/>
    <x v="2"/>
    <n v="119"/>
    <n v="67"/>
    <n v="595"/>
    <n v="335"/>
    <n v="260"/>
    <n v="0.436974789915966"/>
  </r>
  <r>
    <x v="195"/>
    <s v="SLIPPERS"/>
    <x v="7"/>
    <s v="Formal"/>
    <x v="0"/>
    <s v="Green"/>
    <x v="1"/>
    <x v="1"/>
    <x v="6"/>
    <n v="9"/>
    <x v="2"/>
    <n v="119"/>
    <n v="67"/>
    <n v="1071"/>
    <n v="603"/>
    <n v="468"/>
    <n v="0.436974789915966"/>
  </r>
  <r>
    <x v="36"/>
    <s v="monk straps"/>
    <x v="0"/>
    <s v="Formal"/>
    <x v="0"/>
    <s v="Black"/>
    <x v="1"/>
    <x v="1"/>
    <x v="12"/>
    <n v="1"/>
    <x v="2"/>
    <n v="89"/>
    <n v="47"/>
    <n v="89"/>
    <n v="47"/>
    <n v="42"/>
    <n v="0.47191011235955099"/>
  </r>
  <r>
    <x v="24"/>
    <s v="boots"/>
    <x v="3"/>
    <s v="casual"/>
    <x v="2"/>
    <s v="Blue"/>
    <x v="1"/>
    <x v="1"/>
    <x v="2"/>
    <n v="8"/>
    <x v="1"/>
    <n v="76"/>
    <n v="39"/>
    <n v="608"/>
    <n v="312"/>
    <n v="296"/>
    <n v="0.48684210526315802"/>
  </r>
  <r>
    <x v="164"/>
    <s v="OXFORD"/>
    <x v="5"/>
    <s v="OPEN"/>
    <x v="3"/>
    <s v="Green"/>
    <x v="1"/>
    <x v="1"/>
    <x v="8"/>
    <n v="8"/>
    <x v="3"/>
    <n v="105"/>
    <n v="58"/>
    <n v="840"/>
    <n v="464"/>
    <n v="376"/>
    <n v="0.44761904761904803"/>
  </r>
  <r>
    <x v="180"/>
    <s v="Derby"/>
    <x v="2"/>
    <s v="OPEN"/>
    <x v="3"/>
    <s v="Red"/>
    <x v="1"/>
    <x v="1"/>
    <x v="7"/>
    <n v="9"/>
    <x v="1"/>
    <n v="32"/>
    <n v="14"/>
    <n v="288"/>
    <n v="126"/>
    <n v="162"/>
    <n v="0.5625"/>
  </r>
  <r>
    <x v="79"/>
    <s v="BROGUES"/>
    <x v="6"/>
    <s v="casual"/>
    <x v="2"/>
    <s v="Black"/>
    <x v="0"/>
    <x v="0"/>
    <x v="10"/>
    <n v="10"/>
    <x v="0"/>
    <n v="112"/>
    <n v="64"/>
    <n v="1120"/>
    <n v="640"/>
    <n v="480"/>
    <n v="0.42857142857142899"/>
  </r>
  <r>
    <x v="194"/>
    <s v="Canvas"/>
    <x v="4"/>
    <s v="OPEN"/>
    <x v="3"/>
    <s v="Green"/>
    <x v="1"/>
    <x v="1"/>
    <x v="4"/>
    <n v="6"/>
    <x v="1"/>
    <n v="128"/>
    <n v="72"/>
    <n v="768"/>
    <n v="432"/>
    <n v="336"/>
    <n v="0.4375"/>
  </r>
  <r>
    <x v="164"/>
    <s v="Canvas"/>
    <x v="4"/>
    <s v="Formal"/>
    <x v="0"/>
    <s v="Green"/>
    <x v="0"/>
    <x v="0"/>
    <x v="4"/>
    <n v="4"/>
    <x v="2"/>
    <n v="128"/>
    <n v="72"/>
    <n v="512"/>
    <n v="288"/>
    <n v="224"/>
    <n v="0.4375"/>
  </r>
  <r>
    <x v="75"/>
    <s v="monk straps"/>
    <x v="0"/>
    <s v="Formal"/>
    <x v="0"/>
    <s v="Black"/>
    <x v="2"/>
    <x v="2"/>
    <x v="1"/>
    <n v="4"/>
    <x v="0"/>
    <n v="89"/>
    <n v="47"/>
    <n v="356"/>
    <n v="188"/>
    <n v="168"/>
    <n v="0.47191011235955099"/>
  </r>
  <r>
    <x v="23"/>
    <s v="boots"/>
    <x v="3"/>
    <s v="Formal"/>
    <x v="0"/>
    <s v="Red"/>
    <x v="4"/>
    <x v="4"/>
    <x v="5"/>
    <n v="14"/>
    <x v="0"/>
    <n v="76"/>
    <n v="39"/>
    <n v="1064"/>
    <n v="546"/>
    <n v="518"/>
    <n v="0.48684210526315802"/>
  </r>
  <r>
    <x v="49"/>
    <s v="BROGUES"/>
    <x v="6"/>
    <s v="Formal"/>
    <x v="0"/>
    <s v="Green"/>
    <x v="4"/>
    <x v="4"/>
    <x v="5"/>
    <n v="8"/>
    <x v="1"/>
    <n v="112"/>
    <n v="64"/>
    <n v="896"/>
    <n v="512"/>
    <n v="384"/>
    <n v="0.42857142857142899"/>
  </r>
  <r>
    <x v="80"/>
    <s v="boots"/>
    <x v="3"/>
    <s v="Formal"/>
    <x v="0"/>
    <s v="Black"/>
    <x v="1"/>
    <x v="1"/>
    <x v="5"/>
    <n v="3"/>
    <x v="1"/>
    <n v="76"/>
    <n v="39"/>
    <n v="228"/>
    <n v="117"/>
    <n v="111"/>
    <n v="0.48684210526315802"/>
  </r>
  <r>
    <x v="26"/>
    <s v="Canvas"/>
    <x v="4"/>
    <s v="casual"/>
    <x v="2"/>
    <s v="Red"/>
    <x v="1"/>
    <x v="1"/>
    <x v="7"/>
    <n v="10"/>
    <x v="0"/>
    <n v="128"/>
    <n v="72"/>
    <n v="1280"/>
    <n v="720"/>
    <n v="560"/>
    <n v="0.4375"/>
  </r>
  <r>
    <x v="34"/>
    <s v="loafers"/>
    <x v="1"/>
    <s v="UTILITY"/>
    <x v="1"/>
    <s v="Black"/>
    <x v="1"/>
    <x v="1"/>
    <x v="4"/>
    <n v="7"/>
    <x v="1"/>
    <n v="54"/>
    <n v="28"/>
    <n v="378"/>
    <n v="196"/>
    <n v="182"/>
    <n v="0.48148148148148101"/>
  </r>
  <r>
    <x v="118"/>
    <s v="SLIPPERS"/>
    <x v="7"/>
    <s v="Formal"/>
    <x v="0"/>
    <s v="Black"/>
    <x v="0"/>
    <x v="0"/>
    <x v="5"/>
    <n v="6"/>
    <x v="3"/>
    <n v="119"/>
    <n v="67"/>
    <n v="714"/>
    <n v="402"/>
    <n v="312"/>
    <n v="0.436974789915966"/>
  </r>
  <r>
    <x v="106"/>
    <s v="Derby"/>
    <x v="2"/>
    <s v="Formal"/>
    <x v="0"/>
    <s v="Black"/>
    <x v="0"/>
    <x v="0"/>
    <x v="8"/>
    <n v="13"/>
    <x v="3"/>
    <n v="32"/>
    <n v="14"/>
    <n v="416"/>
    <n v="182"/>
    <n v="234"/>
    <n v="0.5625"/>
  </r>
  <r>
    <x v="196"/>
    <s v="monk straps"/>
    <x v="0"/>
    <s v="casual"/>
    <x v="2"/>
    <s v="Black"/>
    <x v="1"/>
    <x v="1"/>
    <x v="1"/>
    <n v="4"/>
    <x v="0"/>
    <n v="89"/>
    <n v="47"/>
    <n v="356"/>
    <n v="188"/>
    <n v="168"/>
    <n v="0.47191011235955099"/>
  </r>
  <r>
    <x v="197"/>
    <s v="SLIPPERS"/>
    <x v="7"/>
    <s v="Formal"/>
    <x v="0"/>
    <s v="Brown"/>
    <x v="3"/>
    <x v="3"/>
    <x v="11"/>
    <n v="3"/>
    <x v="0"/>
    <n v="119"/>
    <n v="67"/>
    <n v="357"/>
    <n v="201"/>
    <n v="156"/>
    <n v="0.436974789915966"/>
  </r>
  <r>
    <x v="174"/>
    <s v="Canvas"/>
    <x v="4"/>
    <s v="casual"/>
    <x v="2"/>
    <s v="Brown"/>
    <x v="3"/>
    <x v="3"/>
    <x v="3"/>
    <n v="13"/>
    <x v="3"/>
    <n v="128"/>
    <n v="72"/>
    <n v="1664"/>
    <n v="936"/>
    <n v="728"/>
    <n v="0.4375"/>
  </r>
  <r>
    <x v="38"/>
    <s v="boots"/>
    <x v="3"/>
    <s v="casual"/>
    <x v="2"/>
    <s v="Brown"/>
    <x v="0"/>
    <x v="0"/>
    <x v="13"/>
    <n v="9"/>
    <x v="0"/>
    <n v="76"/>
    <n v="39"/>
    <n v="684"/>
    <n v="351"/>
    <n v="333"/>
    <n v="0.48684210526315802"/>
  </r>
  <r>
    <x v="145"/>
    <s v="loafers"/>
    <x v="1"/>
    <s v="casual"/>
    <x v="2"/>
    <s v="Black"/>
    <x v="4"/>
    <x v="4"/>
    <x v="8"/>
    <n v="10"/>
    <x v="0"/>
    <n v="54"/>
    <n v="28"/>
    <n v="540"/>
    <n v="280"/>
    <n v="260"/>
    <n v="0.48148148148148101"/>
  </r>
  <r>
    <x v="13"/>
    <s v="SLIPPERS"/>
    <x v="7"/>
    <s v="casual"/>
    <x v="2"/>
    <s v="Green"/>
    <x v="0"/>
    <x v="0"/>
    <x v="5"/>
    <n v="6"/>
    <x v="2"/>
    <n v="119"/>
    <n v="67"/>
    <n v="714"/>
    <n v="402"/>
    <n v="312"/>
    <n v="0.436974789915966"/>
  </r>
  <r>
    <x v="3"/>
    <s v="Derby"/>
    <x v="2"/>
    <s v="casual"/>
    <x v="2"/>
    <s v="Black"/>
    <x v="1"/>
    <x v="1"/>
    <x v="5"/>
    <n v="15"/>
    <x v="1"/>
    <n v="32"/>
    <n v="14"/>
    <n v="480"/>
    <n v="210"/>
    <n v="270"/>
    <n v="0.5625"/>
  </r>
  <r>
    <x v="28"/>
    <s v="SLIPPERS"/>
    <x v="7"/>
    <s v="Formal"/>
    <x v="0"/>
    <s v="Brown"/>
    <x v="1"/>
    <x v="1"/>
    <x v="2"/>
    <n v="11"/>
    <x v="1"/>
    <n v="119"/>
    <n v="67"/>
    <n v="1309"/>
    <n v="737"/>
    <n v="572"/>
    <n v="0.436974789915966"/>
  </r>
  <r>
    <x v="131"/>
    <s v="monk straps"/>
    <x v="0"/>
    <s v="casual"/>
    <x v="2"/>
    <s v="Brown"/>
    <x v="3"/>
    <x v="3"/>
    <x v="12"/>
    <n v="9"/>
    <x v="2"/>
    <n v="89"/>
    <n v="47"/>
    <n v="801"/>
    <n v="423"/>
    <n v="378"/>
    <n v="0.47191011235955099"/>
  </r>
  <r>
    <x v="102"/>
    <s v="Derby"/>
    <x v="2"/>
    <s v="Formal"/>
    <x v="0"/>
    <s v="Brown"/>
    <x v="3"/>
    <x v="3"/>
    <x v="10"/>
    <n v="8"/>
    <x v="3"/>
    <n v="32"/>
    <n v="14"/>
    <n v="256"/>
    <n v="112"/>
    <n v="144"/>
    <n v="0.5625"/>
  </r>
  <r>
    <x v="198"/>
    <s v="boots"/>
    <x v="3"/>
    <s v="Formal"/>
    <x v="0"/>
    <s v="Red"/>
    <x v="1"/>
    <x v="1"/>
    <x v="1"/>
    <n v="13"/>
    <x v="3"/>
    <n v="76"/>
    <n v="39"/>
    <n v="988"/>
    <n v="507"/>
    <n v="481"/>
    <n v="0.48684210526315802"/>
  </r>
  <r>
    <x v="193"/>
    <s v="Canvas"/>
    <x v="4"/>
    <s v="casual"/>
    <x v="2"/>
    <s v="Red"/>
    <x v="3"/>
    <x v="3"/>
    <x v="7"/>
    <n v="6"/>
    <x v="2"/>
    <n v="128"/>
    <n v="72"/>
    <n v="768"/>
    <n v="432"/>
    <n v="336"/>
    <n v="0.4375"/>
  </r>
  <r>
    <x v="116"/>
    <s v="OXFORD"/>
    <x v="5"/>
    <s v="casual"/>
    <x v="2"/>
    <s v="Brown"/>
    <x v="2"/>
    <x v="2"/>
    <x v="8"/>
    <n v="3"/>
    <x v="3"/>
    <n v="105"/>
    <n v="58"/>
    <n v="315"/>
    <n v="174"/>
    <n v="141"/>
    <n v="0.44761904761904803"/>
  </r>
  <r>
    <x v="174"/>
    <s v="Derby"/>
    <x v="2"/>
    <s v="Formal"/>
    <x v="0"/>
    <s v="Brown"/>
    <x v="1"/>
    <x v="1"/>
    <x v="9"/>
    <n v="8"/>
    <x v="0"/>
    <n v="32"/>
    <n v="14"/>
    <n v="256"/>
    <n v="112"/>
    <n v="144"/>
    <n v="0.5625"/>
  </r>
  <r>
    <x v="98"/>
    <s v="monk straps"/>
    <x v="0"/>
    <s v="Formal"/>
    <x v="0"/>
    <s v="Black"/>
    <x v="3"/>
    <x v="3"/>
    <x v="12"/>
    <n v="15"/>
    <x v="3"/>
    <n v="89"/>
    <n v="47"/>
    <n v="1335"/>
    <n v="705"/>
    <n v="630"/>
    <n v="0.47191011235955099"/>
  </r>
  <r>
    <x v="111"/>
    <s v="monk straps"/>
    <x v="0"/>
    <s v="Formal"/>
    <x v="0"/>
    <s v="Red"/>
    <x v="1"/>
    <x v="1"/>
    <x v="3"/>
    <n v="2"/>
    <x v="0"/>
    <n v="89"/>
    <n v="47"/>
    <n v="178"/>
    <n v="94"/>
    <n v="84"/>
    <n v="0.47191011235955099"/>
  </r>
  <r>
    <x v="88"/>
    <s v="BROGUES"/>
    <x v="6"/>
    <s v="Formal"/>
    <x v="0"/>
    <s v="Red"/>
    <x v="1"/>
    <x v="1"/>
    <x v="9"/>
    <n v="10"/>
    <x v="3"/>
    <n v="112"/>
    <n v="64"/>
    <n v="1120"/>
    <n v="640"/>
    <n v="480"/>
    <n v="0.42857142857142899"/>
  </r>
  <r>
    <x v="50"/>
    <s v="loafers"/>
    <x v="1"/>
    <s v="Formal"/>
    <x v="0"/>
    <s v="Red"/>
    <x v="0"/>
    <x v="0"/>
    <x v="8"/>
    <n v="5"/>
    <x v="0"/>
    <n v="54"/>
    <n v="28"/>
    <n v="270"/>
    <n v="140"/>
    <n v="130"/>
    <n v="0.48148148148148101"/>
  </r>
  <r>
    <x v="199"/>
    <s v="Derby"/>
    <x v="2"/>
    <s v="Formal"/>
    <x v="0"/>
    <s v="Brown"/>
    <x v="3"/>
    <x v="3"/>
    <x v="2"/>
    <n v="15"/>
    <x v="2"/>
    <n v="32"/>
    <n v="14"/>
    <n v="480"/>
    <n v="210"/>
    <n v="270"/>
    <n v="0.5625"/>
  </r>
  <r>
    <x v="200"/>
    <s v="Canvas"/>
    <x v="4"/>
    <s v="Formal"/>
    <x v="0"/>
    <s v="Black"/>
    <x v="4"/>
    <x v="4"/>
    <x v="11"/>
    <n v="15"/>
    <x v="2"/>
    <n v="128"/>
    <n v="72"/>
    <n v="1920"/>
    <n v="1080"/>
    <n v="840"/>
    <n v="0.4375"/>
  </r>
  <r>
    <x v="89"/>
    <s v="boots"/>
    <x v="3"/>
    <s v="OPEN"/>
    <x v="3"/>
    <s v="Red"/>
    <x v="1"/>
    <x v="1"/>
    <x v="1"/>
    <n v="10"/>
    <x v="1"/>
    <n v="76"/>
    <n v="39"/>
    <n v="760"/>
    <n v="390"/>
    <n v="370"/>
    <n v="0.48684210526315802"/>
  </r>
  <r>
    <x v="201"/>
    <s v="Canvas"/>
    <x v="4"/>
    <s v="OPEN"/>
    <x v="3"/>
    <s v="Red"/>
    <x v="1"/>
    <x v="1"/>
    <x v="2"/>
    <n v="5"/>
    <x v="0"/>
    <n v="128"/>
    <n v="72"/>
    <n v="640"/>
    <n v="360"/>
    <n v="280"/>
    <n v="0.4375"/>
  </r>
  <r>
    <x v="68"/>
    <s v="Derby"/>
    <x v="2"/>
    <s v="OPEN"/>
    <x v="3"/>
    <s v="Brown"/>
    <x v="2"/>
    <x v="2"/>
    <x v="8"/>
    <n v="5"/>
    <x v="2"/>
    <n v="32"/>
    <n v="14"/>
    <n v="160"/>
    <n v="70"/>
    <n v="90"/>
    <n v="0.5625"/>
  </r>
  <r>
    <x v="113"/>
    <s v="loafers"/>
    <x v="1"/>
    <s v="OPEN"/>
    <x v="3"/>
    <s v="Black"/>
    <x v="3"/>
    <x v="3"/>
    <x v="0"/>
    <n v="8"/>
    <x v="0"/>
    <n v="54"/>
    <n v="28"/>
    <n v="432"/>
    <n v="224"/>
    <n v="208"/>
    <n v="0.48148148148148101"/>
  </r>
  <r>
    <x v="49"/>
    <s v="OXFORD"/>
    <x v="5"/>
    <s v="Formal"/>
    <x v="0"/>
    <s v="Green"/>
    <x v="4"/>
    <x v="4"/>
    <x v="13"/>
    <n v="3"/>
    <x v="0"/>
    <n v="105"/>
    <n v="58"/>
    <n v="315"/>
    <n v="174"/>
    <n v="141"/>
    <n v="0.44761904761904803"/>
  </r>
  <r>
    <x v="202"/>
    <s v="Canvas"/>
    <x v="4"/>
    <s v="casual"/>
    <x v="2"/>
    <s v="Green"/>
    <x v="1"/>
    <x v="1"/>
    <x v="1"/>
    <n v="5"/>
    <x v="3"/>
    <n v="128"/>
    <n v="72"/>
    <n v="640"/>
    <n v="360"/>
    <n v="280"/>
    <n v="0.4375"/>
  </r>
  <r>
    <x v="111"/>
    <s v="Derby"/>
    <x v="2"/>
    <s v="casual"/>
    <x v="2"/>
    <s v="Red"/>
    <x v="1"/>
    <x v="1"/>
    <x v="9"/>
    <n v="4"/>
    <x v="0"/>
    <n v="32"/>
    <n v="14"/>
    <n v="128"/>
    <n v="56"/>
    <n v="72"/>
    <n v="0.5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9EC2FC-2E76-411F-A22F-CF3FA109171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ayment Type">
  <location ref="BK3:BL8" firstHeaderRow="1" firstDataRow="1" firstDataCol="1"/>
  <pivotFields count="19">
    <pivotField numFmtId="22"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items count="9">
        <item x="3"/>
        <item x="6"/>
        <item x="4"/>
        <item x="2"/>
        <item x="1"/>
        <item x="0"/>
        <item x="5"/>
        <item x="7"/>
        <item t="default"/>
      </items>
    </pivotField>
    <pivotField showAll="0"/>
    <pivotField showAll="0">
      <items count="5">
        <item x="2"/>
        <item h="1" x="0"/>
        <item x="3"/>
        <item h="1" x="1"/>
        <item t="default"/>
      </items>
    </pivotField>
    <pivotField showAll="0"/>
    <pivotField showAll="0">
      <items count="6">
        <item x="1"/>
        <item x="0"/>
        <item x="4"/>
        <item x="2"/>
        <item x="3"/>
        <item t="default"/>
      </items>
    </pivotField>
    <pivotField showAll="0">
      <items count="6">
        <item x="1"/>
        <item x="0"/>
        <item x="4"/>
        <item x="2"/>
        <item x="3"/>
        <item t="default"/>
      </items>
    </pivotField>
    <pivotField showAll="0">
      <items count="15">
        <item x="12"/>
        <item x="6"/>
        <item x="2"/>
        <item x="7"/>
        <item x="9"/>
        <item x="4"/>
        <item x="8"/>
        <item x="13"/>
        <item x="1"/>
        <item x="10"/>
        <item x="0"/>
        <item x="3"/>
        <item x="5"/>
        <item x="11"/>
        <item t="default"/>
      </items>
    </pivotField>
    <pivotField showAll="0"/>
    <pivotField axis="axisRow" dataField="1" showAll="0">
      <items count="5">
        <item x="0"/>
        <item x="1"/>
        <item x="2"/>
        <item x="3"/>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i>
    <i>
      <x v="1"/>
    </i>
    <i>
      <x v="2"/>
    </i>
    <i>
      <x v="3"/>
    </i>
    <i t="grand">
      <x/>
    </i>
  </rowItems>
  <colItems count="1">
    <i/>
  </colItems>
  <dataFields count="1">
    <dataField name="Count of Payment Type" fld="10" subtotal="count" baseField="0" baseItem="0"/>
  </dataFields>
  <chartFormats count="10">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0" count="1" selected="0">
            <x v="2"/>
          </reference>
        </references>
      </pivotArea>
    </chartFormat>
    <chartFormat chart="12" format="2">
      <pivotArea type="data" outline="0" fieldPosition="0">
        <references count="2">
          <reference field="4294967294" count="1" selected="0">
            <x v="0"/>
          </reference>
          <reference field="10" count="1" selected="0">
            <x v="3"/>
          </reference>
        </references>
      </pivotArea>
    </chartFormat>
    <chartFormat chart="12" format="3">
      <pivotArea type="data" outline="0" fieldPosition="0">
        <references count="2">
          <reference field="4294967294" count="1" selected="0">
            <x v="0"/>
          </reference>
          <reference field="10" count="1" selected="0">
            <x v="0"/>
          </reference>
        </references>
      </pivotArea>
    </chartFormat>
    <chartFormat chart="12" format="4">
      <pivotArea type="data" outline="0" fieldPosition="0">
        <references count="2">
          <reference field="4294967294" count="1" selected="0">
            <x v="0"/>
          </reference>
          <reference field="10"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0" count="1" selected="0">
            <x v="0"/>
          </reference>
        </references>
      </pivotArea>
    </chartFormat>
    <chartFormat chart="17" format="12">
      <pivotArea type="data" outline="0" fieldPosition="0">
        <references count="2">
          <reference field="4294967294" count="1" selected="0">
            <x v="0"/>
          </reference>
          <reference field="10" count="1" selected="0">
            <x v="1"/>
          </reference>
        </references>
      </pivotArea>
    </chartFormat>
    <chartFormat chart="17" format="13">
      <pivotArea type="data" outline="0" fieldPosition="0">
        <references count="2">
          <reference field="4294967294" count="1" selected="0">
            <x v="0"/>
          </reference>
          <reference field="10" count="1" selected="0">
            <x v="2"/>
          </reference>
        </references>
      </pivotArea>
    </chartFormat>
    <chartFormat chart="17"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711F01-89F8-4C2F-A418-1FA0070376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N2:O11" firstHeaderRow="1" firstDataRow="1" firstDataCol="1"/>
  <pivotFields count="19">
    <pivotField numFmtId="22"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axis="axisRow" showAll="0">
      <items count="9">
        <item x="3"/>
        <item x="6"/>
        <item x="4"/>
        <item x="2"/>
        <item x="1"/>
        <item x="0"/>
        <item x="5"/>
        <item x="7"/>
        <item t="default"/>
      </items>
    </pivotField>
    <pivotField showAll="0"/>
    <pivotField showAll="0">
      <items count="5">
        <item x="2"/>
        <item h="1" x="0"/>
        <item x="3"/>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dataFields count="1">
    <dataField name="Total Revenue" fld="13" baseField="0" baseItem="1" numFmtId="168"/>
  </dataFields>
  <formats count="1">
    <format dxfId="20">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5DB690-CAA3-48AB-834C-6DBEEC56CAF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ountry">
  <location ref="AY3:AZ9" firstHeaderRow="1" firstDataRow="1" firstDataCol="1"/>
  <pivotFields count="19">
    <pivotField numFmtId="22"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items count="9">
        <item x="3"/>
        <item x="6"/>
        <item x="4"/>
        <item x="2"/>
        <item x="1"/>
        <item x="0"/>
        <item x="5"/>
        <item x="7"/>
        <item t="default"/>
      </items>
    </pivotField>
    <pivotField showAll="0"/>
    <pivotField showAll="0">
      <items count="5">
        <item x="2"/>
        <item h="1" x="0"/>
        <item x="3"/>
        <item h="1" x="1"/>
        <item t="default"/>
      </items>
    </pivotField>
    <pivotField showAll="0"/>
    <pivotField showAll="0">
      <items count="6">
        <item x="1"/>
        <item x="0"/>
        <item x="4"/>
        <item x="2"/>
        <item x="3"/>
        <item t="default"/>
      </items>
    </pivotField>
    <pivotField showAll="0">
      <items count="6">
        <item x="1"/>
        <item x="0"/>
        <item x="4"/>
        <item x="2"/>
        <item x="3"/>
        <item t="default"/>
      </items>
    </pivotField>
    <pivotField axis="axisRow" showAll="0" measureFilter="1">
      <items count="15">
        <item x="12"/>
        <item x="6"/>
        <item x="2"/>
        <item x="7"/>
        <item x="9"/>
        <item x="4"/>
        <item x="8"/>
        <item x="13"/>
        <item x="1"/>
        <item x="10"/>
        <item x="0"/>
        <item x="3"/>
        <item x="5"/>
        <item x="11"/>
        <item t="default"/>
      </items>
    </pivotField>
    <pivotField showAll="0"/>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6">
    <i>
      <x v="5"/>
    </i>
    <i>
      <x v="10"/>
    </i>
    <i>
      <x v="11"/>
    </i>
    <i>
      <x v="12"/>
    </i>
    <i>
      <x v="13"/>
    </i>
    <i t="grand">
      <x/>
    </i>
  </rowItems>
  <colItems count="1">
    <i/>
  </colItems>
  <dataFields count="1">
    <dataField name="Total Revenue" fld="13" baseField="8" baseItem="0"/>
  </dataFields>
  <formats count="1">
    <format dxfId="21">
      <pivotArea collapsedLevelsAreSubtotals="1" fieldPosition="0">
        <references count="1">
          <reference field="8" count="0"/>
        </references>
      </pivotArea>
    </format>
  </formats>
  <chartFormats count="2">
    <chartFormat chart="12" format="1"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C6CA18-B7BA-4642-95B5-FCFF4E4A63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I2:J11" firstHeaderRow="1" firstDataRow="1" firstDataCol="1"/>
  <pivotFields count="19">
    <pivotField numFmtId="22"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items count="5">
        <item x="2"/>
        <item h="1" x="0"/>
        <item x="3"/>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9">
    <i>
      <x v="1"/>
    </i>
    <i>
      <x v="2"/>
    </i>
    <i>
      <x v="3"/>
    </i>
    <i>
      <x v="4"/>
    </i>
    <i>
      <x v="5"/>
    </i>
    <i>
      <x v="6"/>
    </i>
    <i>
      <x v="7"/>
    </i>
    <i>
      <x v="8"/>
    </i>
    <i t="grand">
      <x/>
    </i>
  </rowItems>
  <colItems count="1">
    <i/>
  </colItems>
  <dataFields count="1">
    <dataField name="Total Revenue" fld="13" baseField="0" baseItem="1" numFmtId="168"/>
  </dataFields>
  <formats count="1">
    <format dxfId="22">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E0E6BA-25D1-4490-A2C8-C766647BF4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3" firstHeaderRow="0" firstDataRow="1" firstDataCol="0"/>
  <pivotFields count="19">
    <pivotField numFmtId="22"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items count="5">
        <item x="2"/>
        <item h="1" x="0"/>
        <item x="3"/>
        <item h="1" x="1"/>
        <item t="default"/>
      </items>
    </pivotField>
    <pivotField showAll="0"/>
    <pivotField showAll="0"/>
    <pivotField showAll="0"/>
    <pivotField showAll="0"/>
    <pivotField dataField="1" showAll="0"/>
    <pivotField showAll="0"/>
    <pivotField showAll="0"/>
    <pivotField showAll="0"/>
    <pivotField dataField="1"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Revenue" fld="13" baseField="0" baseItem="1" numFmtId="168"/>
    <dataField name="Total Cost" fld="14" baseField="0" baseItem="1" numFmtId="168"/>
    <dataField name="Total Profit " fld="15" baseField="0" baseItem="2" numFmtId="168"/>
    <dataField name="Total Profit Margin" fld="16" subtotal="average" baseField="0" baseItem="3" numFmtId="166"/>
    <dataField name="Quantity Sold" fld="9" baseField="0" baseItem="4" numFmtId="167"/>
  </dataFields>
  <formats count="5">
    <format dxfId="27">
      <pivotArea outline="0" collapsedLevelsAreSubtotals="1" fieldPosition="0">
        <references count="1">
          <reference field="4294967294" count="1" selected="0">
            <x v="3"/>
          </reference>
        </references>
      </pivotArea>
    </format>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F90960-008D-4C6D-870C-B325DB14207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ountry">
  <location ref="AN2:AP17" firstHeaderRow="0" firstDataRow="1" firstDataCol="1"/>
  <pivotFields count="19">
    <pivotField numFmtId="22"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items count="9">
        <item x="3"/>
        <item x="6"/>
        <item x="4"/>
        <item x="2"/>
        <item x="1"/>
        <item x="0"/>
        <item x="5"/>
        <item x="7"/>
        <item t="default"/>
      </items>
    </pivotField>
    <pivotField showAll="0"/>
    <pivotField showAll="0">
      <items count="5">
        <item x="2"/>
        <item h="1" x="0"/>
        <item x="3"/>
        <item h="1" x="1"/>
        <item t="default"/>
      </items>
    </pivotField>
    <pivotField showAll="0"/>
    <pivotField showAll="0">
      <items count="6">
        <item x="1"/>
        <item x="0"/>
        <item x="4"/>
        <item x="2"/>
        <item x="3"/>
        <item t="default"/>
      </items>
    </pivotField>
    <pivotField showAll="0">
      <items count="6">
        <item x="1"/>
        <item x="0"/>
        <item x="4"/>
        <item x="2"/>
        <item x="3"/>
        <item t="default"/>
      </items>
    </pivotField>
    <pivotField axis="axisRow" showAll="0">
      <items count="15">
        <item x="12"/>
        <item x="6"/>
        <item x="2"/>
        <item x="7"/>
        <item x="9"/>
        <item x="4"/>
        <item x="8"/>
        <item x="13"/>
        <item x="1"/>
        <item x="10"/>
        <item x="0"/>
        <item x="3"/>
        <item x="5"/>
        <item x="11"/>
        <item t="default"/>
      </items>
    </pivotField>
    <pivotField showAll="0"/>
    <pivotField showAll="0"/>
    <pivotField showAll="0"/>
    <pivotField showAll="0"/>
    <pivotField dataField="1"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Total Profit" fld="15" baseField="8" baseItem="0"/>
    <dataField name="Total Revenue" fld="13" baseField="8" baseItem="0"/>
  </dataFields>
  <formats count="1">
    <format dxfId="28">
      <pivotArea collapsedLevelsAreSubtotals="1" fieldPosition="0">
        <references count="1">
          <reference field="8" count="0"/>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2459D4-4498-4F91-8DE2-0E79AC2EFB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Brand">
  <location ref="AF2:AG8" firstHeaderRow="1" firstDataRow="1" firstDataCol="1"/>
  <pivotFields count="19">
    <pivotField numFmtId="22"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items count="9">
        <item x="3"/>
        <item x="6"/>
        <item x="4"/>
        <item x="2"/>
        <item x="1"/>
        <item x="0"/>
        <item x="5"/>
        <item x="7"/>
        <item t="default"/>
      </items>
    </pivotField>
    <pivotField showAll="0"/>
    <pivotField showAll="0">
      <items count="5">
        <item x="2"/>
        <item h="1" x="0"/>
        <item x="3"/>
        <item h="1" x="1"/>
        <item t="default"/>
      </items>
    </pivotField>
    <pivotField showAll="0"/>
    <pivotField showAll="0">
      <items count="6">
        <item x="1"/>
        <item x="0"/>
        <item x="4"/>
        <item x="2"/>
        <item x="3"/>
        <item t="default"/>
      </items>
    </pivotField>
    <pivotField axis="axisRow" showAll="0">
      <items count="6">
        <item x="1"/>
        <item x="0"/>
        <item x="4"/>
        <item x="2"/>
        <item x="3"/>
        <item t="default"/>
      </items>
    </pivotField>
    <pivotField showAll="0">
      <items count="15">
        <item x="12"/>
        <item x="6"/>
        <item x="2"/>
        <item x="7"/>
        <item x="9"/>
        <item x="4"/>
        <item x="8"/>
        <item x="13"/>
        <item x="1"/>
        <item x="10"/>
        <item x="0"/>
        <item x="3"/>
        <item x="5"/>
        <item x="11"/>
        <item t="default"/>
      </items>
    </pivotField>
    <pivotField showAll="0"/>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6">
    <i>
      <x/>
    </i>
    <i>
      <x v="1"/>
    </i>
    <i>
      <x v="2"/>
    </i>
    <i>
      <x v="3"/>
    </i>
    <i>
      <x v="4"/>
    </i>
    <i t="grand">
      <x/>
    </i>
  </rowItems>
  <colItems count="1">
    <i/>
  </colItems>
  <dataFields count="1">
    <dataField name="Total Revenue" fld="13" baseField="0" baseItem="1" numFmtId="168"/>
  </dataFields>
  <formats count="1">
    <format dxfId="29">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E0422B-6E47-4BA6-BC58-AAF4B7AD97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X2:Y5" firstHeaderRow="1" firstDataRow="1" firstDataCol="1"/>
  <pivotFields count="19">
    <pivotField numFmtId="22"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items count="9">
        <item x="3"/>
        <item x="6"/>
        <item x="4"/>
        <item x="2"/>
        <item x="1"/>
        <item x="0"/>
        <item x="5"/>
        <item x="7"/>
        <item t="default"/>
      </items>
    </pivotField>
    <pivotField showAll="0"/>
    <pivotField axis="axisRow" showAll="0">
      <items count="5">
        <item x="2"/>
        <item h="1" x="0"/>
        <item x="3"/>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2"/>
    </i>
    <i t="grand">
      <x/>
    </i>
  </rowItems>
  <colItems count="1">
    <i/>
  </colItems>
  <dataFields count="1">
    <dataField name="Total Revenue" fld="13" baseField="0" baseItem="1" numFmtId="168"/>
  </dataFields>
  <formats count="1">
    <format dxfId="30">
      <pivotArea outline="0" collapsedLevelsAreSubtotals="1" fieldPosition="0">
        <references count="1">
          <reference field="4294967294" count="1" selected="0">
            <x v="0"/>
          </reference>
        </references>
      </pivotArea>
    </format>
  </formats>
  <chartFormats count="1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3"/>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4" count="1" selected="0">
            <x v="0"/>
          </reference>
        </references>
      </pivotArea>
    </chartFormat>
    <chartFormat chart="13" format="12">
      <pivotArea type="data" outline="0" fieldPosition="0">
        <references count="2">
          <reference field="4294967294" count="1" selected="0">
            <x v="0"/>
          </reference>
          <reference field="4" count="1" selected="0">
            <x v="1"/>
          </reference>
        </references>
      </pivotArea>
    </chartFormat>
    <chartFormat chart="13" format="13">
      <pivotArea type="data" outline="0" fieldPosition="0">
        <references count="2">
          <reference field="4294967294" count="1" selected="0">
            <x v="0"/>
          </reference>
          <reference field="4" count="1" selected="0">
            <x v="2"/>
          </reference>
        </references>
      </pivotArea>
    </chartFormat>
    <chartFormat chart="1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2E9DF9-698E-47F0-A0B9-6441017977EC}" autoFormatId="16" applyNumberFormats="0" applyBorderFormats="0" applyFontFormats="0" applyPatternFormats="0" applyAlignmentFormats="0" applyWidthHeightFormats="0">
  <queryTableRefresh nextId="18">
    <queryTableFields count="17">
      <queryTableField id="1" name="Date" tableColumnId="1"/>
      <queryTableField id="2" name="Product" tableColumnId="2"/>
      <queryTableField id="3" name="Product Cleaned" tableColumnId="3"/>
      <queryTableField id="4" name="Category" tableColumnId="4"/>
      <queryTableField id="5" name="category Cleaned" tableColumnId="5"/>
      <queryTableField id="6" name="Color" tableColumnId="6"/>
      <queryTableField id="7" name="Brand" tableColumnId="7"/>
      <queryTableField id="8" name="Brand Cleaned" tableColumnId="8"/>
      <queryTableField id="9" name="Country" tableColumnId="9"/>
      <queryTableField id="10" name="Quantity" tableColumnId="10"/>
      <queryTableField id="11" name="Payment Type" tableColumnId="11"/>
      <queryTableField id="12" name="Selling Price" tableColumnId="12"/>
      <queryTableField id="13" name="Cost Price" tableColumnId="13"/>
      <queryTableField id="14" name="Revenue" tableColumnId="14"/>
      <queryTableField id="15" name="Cost" tableColumnId="15"/>
      <queryTableField id="16" name="Profit" tableColumnId="16"/>
      <queryTableField id="17" name="Profit Margin"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Cleaned" xr10:uid="{1A1205B3-BDCB-4ADD-AE85-E19108F474BE}" sourceName="category Cleaned">
  <pivotTables>
    <pivotTable tabId="10" name="PivotTable4"/>
    <pivotTable tabId="10" name="PivotTable11"/>
    <pivotTable tabId="10" name="PivotTable12"/>
    <pivotTable tabId="10" name="PivotTable2"/>
    <pivotTable tabId="10" name="PivotTable3"/>
    <pivotTable tabId="10" name="PivotTable9"/>
    <pivotTable tabId="10" name="PivotTable5"/>
    <pivotTable tabId="10" name="PivotTable6"/>
  </pivotTables>
  <data>
    <tabular pivotCacheId="1561361820">
      <items count="4">
        <i x="2" s="1"/>
        <i x="0"/>
        <i x="3"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Cleaned" xr10:uid="{A56371C9-372A-49C2-87EE-5B92BB5F6E1F}" cache="Slicer_category_Cleaned" caption="category Clean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Cleaned 1" xr10:uid="{1EFD1FB0-0352-4C6F-A712-9B5D7D6D2035}" cache="Slicer_category_Cleaned" caption="category Cleaned" columnCount="4"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0F2F05-AF0D-44B0-8545-1B8293F3C277}" name="Shoe_Sales_1" displayName="Shoe_Sales_1" ref="A1:Q501" tableType="queryTable" totalsRowShown="0">
  <autoFilter ref="A1:Q501" xr:uid="{BB0F2F05-AF0D-44B0-8545-1B8293F3C277}"/>
  <tableColumns count="17">
    <tableColumn id="1" xr3:uid="{182A3E9D-EFB8-4886-B3F0-1F9AD45DB63B}" uniqueName="1" name="Date" queryTableFieldId="1" dataDxfId="41"/>
    <tableColumn id="2" xr3:uid="{C9DE1E78-2C71-4F69-BC62-E5910ED81263}" uniqueName="2" name="Product" queryTableFieldId="2" dataDxfId="40"/>
    <tableColumn id="3" xr3:uid="{B4B0DAD7-15CB-4E57-A2DF-1AF10F7AA6E8}" uniqueName="3" name="Product Cleaned" queryTableFieldId="3" dataDxfId="39"/>
    <tableColumn id="4" xr3:uid="{84797ED5-F026-4705-A403-E0120113CC78}" uniqueName="4" name="Category" queryTableFieldId="4" dataDxfId="38"/>
    <tableColumn id="5" xr3:uid="{A167173E-FB14-45B8-ABA6-74930F110CC1}" uniqueName="5" name="category Cleaned" queryTableFieldId="5" dataDxfId="37"/>
    <tableColumn id="6" xr3:uid="{70DDAD9D-0BED-41CA-9E6B-CDDDA2DAD3E5}" uniqueName="6" name="Color" queryTableFieldId="6" dataDxfId="36"/>
    <tableColumn id="7" xr3:uid="{F7075B4A-BD16-4381-8602-9AAE3EEA919F}" uniqueName="7" name="Brand" queryTableFieldId="7" dataDxfId="35"/>
    <tableColumn id="8" xr3:uid="{531464A7-10C2-4425-93D4-32B8E8B2205C}" uniqueName="8" name="Brand Cleaned" queryTableFieldId="8" dataDxfId="34"/>
    <tableColumn id="9" xr3:uid="{EE3705AB-DC98-498A-B9AC-83DE191D3D6A}" uniqueName="9" name="Country" queryTableFieldId="9" dataDxfId="33"/>
    <tableColumn id="10" xr3:uid="{0969B3EE-B358-415B-A1D3-9277C646F58D}" uniqueName="10" name="Quantity" queryTableFieldId="10"/>
    <tableColumn id="11" xr3:uid="{49EE06BF-DC0D-4D9F-85F1-0B6843392FC5}" uniqueName="11" name="Payment Type" queryTableFieldId="11" dataDxfId="32"/>
    <tableColumn id="12" xr3:uid="{231736ED-931E-4E8F-A434-4C0149DE114A}" uniqueName="12" name="Selling Price" queryTableFieldId="12"/>
    <tableColumn id="13" xr3:uid="{E787DE6F-F262-4458-9B33-12D07821C22F}" uniqueName="13" name="Cost Price" queryTableFieldId="13"/>
    <tableColumn id="14" xr3:uid="{A97204F1-EB1C-4B76-B8CF-C9CC58B38016}" uniqueName="14" name="Revenue" queryTableFieldId="14"/>
    <tableColumn id="15" xr3:uid="{FA3D5E1E-9368-4D86-988E-E5BB77A9721D}" uniqueName="15" name="Cost" queryTableFieldId="15"/>
    <tableColumn id="16" xr3:uid="{3FD86E3D-54B3-4122-81AE-F69CB4012B39}" uniqueName="16" name="Profit" queryTableFieldId="16"/>
    <tableColumn id="17" xr3:uid="{52A478FB-B40E-464C-A20F-C05986F20EB4}" uniqueName="17" name="Profit Margin" queryTableFieldId="17" dataDxfId="31"/>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25B485-2A3C-4865-843E-70B5FEA6F2B5}" name="Shoe_Sales" displayName="Shoe_Sales" ref="A1:Q501" totalsRowShown="0" headerRowDxfId="19" dataDxfId="18" tableBorderDxfId="17">
  <autoFilter ref="A1:Q501" xr:uid="{9C25B485-2A3C-4865-843E-70B5FEA6F2B5}"/>
  <tableColumns count="17">
    <tableColumn id="1" xr3:uid="{764DB04B-6237-471A-AC43-B644B0D92BF6}" name="Date" dataDxfId="16"/>
    <tableColumn id="2" xr3:uid="{EC9BDF41-026B-4073-81CD-EA1FDF11D8C3}" name="Product" dataDxfId="15"/>
    <tableColumn id="3" xr3:uid="{51F72065-36D8-4C0B-9761-2B03D14486D4}" name="Product Cleaned" dataDxfId="14">
      <calculatedColumnFormula>TRIM(PROPER(B2))</calculatedColumnFormula>
    </tableColumn>
    <tableColumn id="4" xr3:uid="{5EB008A9-698E-4955-BD49-CFC40082301D}" name="Category" dataDxfId="13"/>
    <tableColumn id="5" xr3:uid="{E1C61701-90BC-41BC-9A26-D47F553989C6}" name="category Cleaned" dataDxfId="12">
      <calculatedColumnFormula>PROPER(D2)</calculatedColumnFormula>
    </tableColumn>
    <tableColumn id="6" xr3:uid="{C04780A1-CCB8-4720-9D43-5EA4EA69DCF0}" name="Color" dataDxfId="11"/>
    <tableColumn id="7" xr3:uid="{ABEE678C-3757-462F-BDD5-58BF76493C49}" name="Brand" dataDxfId="10"/>
    <tableColumn id="11" xr3:uid="{3F5FCCDF-EF5F-426A-B0D5-9ACCB3FFB87E}" name="Brand Cleaned" dataDxfId="9">
      <calculatedColumnFormula>PROPER(Shoe_Sales[[#This Row],[Brand]])</calculatedColumnFormula>
    </tableColumn>
    <tableColumn id="8" xr3:uid="{FD06EFB8-C961-448B-A617-B50CB4B847E5}" name="Country" dataDxfId="8"/>
    <tableColumn id="9" xr3:uid="{6D46AA6D-1FF0-4FB6-A57F-98C4A6FAC6B4}" name="Quantity" dataDxfId="7"/>
    <tableColumn id="10" xr3:uid="{00C11F21-6E34-4A7E-A500-A67A5CF4AF37}" name="Payment Type" dataDxfId="6"/>
    <tableColumn id="14" xr3:uid="{6BB8DC47-41D4-4EDC-B78E-146D7D8D5442}" name="Selling Price" dataDxfId="5">
      <calculatedColumnFormula>VLOOKUP(Shoe_Sales[[#This Row],[Product Cleaned]],Price!$A$2:$C$9,2,FALSE)</calculatedColumnFormula>
    </tableColumn>
    <tableColumn id="15" xr3:uid="{7E5095F7-16CB-414F-B8FB-7D2E29D15EE8}" name="Cost Price" dataDxfId="4">
      <calculatedColumnFormula>VLOOKUP(Shoe_Sales[[#This Row],[Product Cleaned]],Price!$A$2:$C$9,3,0)</calculatedColumnFormula>
    </tableColumn>
    <tableColumn id="16" xr3:uid="{1B8AFD7D-2654-4CA9-BE49-99A8E65A5762}" name="Revenue" dataDxfId="3">
      <calculatedColumnFormula>(Shoe_Sales[[#This Row],[Quantity]]*Shoe_Sales[[#This Row],[Selling Price]])</calculatedColumnFormula>
    </tableColumn>
    <tableColumn id="17" xr3:uid="{9A2D492B-CE0F-4823-8639-F8FD06D6C152}" name="Cost" dataDxfId="2">
      <calculatedColumnFormula>(Shoe_Sales[[#This Row],[Quantity]]*Shoe_Sales[[#This Row],[Cost Price]])</calculatedColumnFormula>
    </tableColumn>
    <tableColumn id="18" xr3:uid="{CA596FCF-0D00-4DE8-80FB-B79C2E1D0A63}" name="Profit" dataDxfId="1">
      <calculatedColumnFormula>(Shoe_Sales[[#This Row],[Revenue]]-Shoe_Sales[[#This Row],[Cost]])</calculatedColumnFormula>
    </tableColumn>
    <tableColumn id="19" xr3:uid="{020AC872-C45A-4FA6-9DDA-20222B329F47}" name="Profit Margin" dataDxfId="0" dataCellStyle="Percent">
      <calculatedColumnFormula>(Shoe_Sales[[#This Row],[Profit]]/Shoe_Sales[[#This Row],[Revenue]])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66478AF-B007-4E83-BBC7-C98B6B9071C1}">
  <we:reference id="wa200010215" version="2.0.0.0" store="en-US" storeType="OMEX"/>
  <we:alternateReferences>
    <we:reference id="WA200010215" version="2.0.0.0" store="" storeType="OMEX"/>
  </we:alternateReferences>
  <we:properties>
    <we:property name="bps.codex_control.document_id" value="&quot;3174118f-8d74-48b6-98ea-392d65203ac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EA36-915B-4A3F-A7CE-E435EF0401A6}">
  <dimension ref="A1:Q501"/>
  <sheetViews>
    <sheetView topLeftCell="A2" workbookViewId="0">
      <selection activeCell="S16" sqref="S16"/>
    </sheetView>
  </sheetViews>
  <sheetFormatPr defaultRowHeight="15" x14ac:dyDescent="0.25"/>
  <cols>
    <col min="1" max="1" width="14.85546875" bestFit="1" customWidth="1"/>
    <col min="2" max="2" width="13.85546875" bestFit="1" customWidth="1"/>
    <col min="3" max="3" width="18" bestFit="1" customWidth="1"/>
    <col min="4" max="4" width="11.140625" bestFit="1" customWidth="1"/>
    <col min="5" max="5" width="18.7109375" bestFit="1" customWidth="1"/>
    <col min="6" max="6" width="8" bestFit="1" customWidth="1"/>
    <col min="7" max="7" width="14.85546875" bestFit="1" customWidth="1"/>
    <col min="8" max="8" width="16.28515625" bestFit="1" customWidth="1"/>
    <col min="9" max="10" width="11" bestFit="1" customWidth="1"/>
    <col min="11" max="11" width="16" bestFit="1" customWidth="1"/>
    <col min="12" max="12" width="14.140625" bestFit="1" customWidth="1"/>
    <col min="13" max="13" width="12" bestFit="1" customWidth="1"/>
    <col min="14" max="14" width="11.140625" bestFit="1" customWidth="1"/>
    <col min="15" max="15" width="7.140625" bestFit="1" customWidth="1"/>
    <col min="16" max="16" width="8.28515625" bestFit="1" customWidth="1"/>
    <col min="17" max="17" width="15" bestFit="1" customWidth="1"/>
  </cols>
  <sheetData>
    <row r="1" spans="1:17" x14ac:dyDescent="0.25">
      <c r="A1" t="s">
        <v>0</v>
      </c>
      <c r="B1" t="s">
        <v>1</v>
      </c>
      <c r="C1" t="s">
        <v>87</v>
      </c>
      <c r="D1" t="s">
        <v>2</v>
      </c>
      <c r="E1" t="s">
        <v>97</v>
      </c>
      <c r="F1" t="s">
        <v>3</v>
      </c>
      <c r="G1" t="s">
        <v>4</v>
      </c>
      <c r="H1" t="s">
        <v>98</v>
      </c>
      <c r="I1" t="s">
        <v>5</v>
      </c>
      <c r="J1" t="s">
        <v>6</v>
      </c>
      <c r="K1" t="s">
        <v>83</v>
      </c>
      <c r="L1" t="s">
        <v>99</v>
      </c>
      <c r="M1" t="s">
        <v>100</v>
      </c>
      <c r="N1" t="s">
        <v>101</v>
      </c>
      <c r="O1" t="s">
        <v>78</v>
      </c>
      <c r="P1" t="s">
        <v>102</v>
      </c>
      <c r="Q1" t="s">
        <v>103</v>
      </c>
    </row>
    <row r="2" spans="1:17" x14ac:dyDescent="0.25">
      <c r="A2" s="17">
        <v>46161</v>
      </c>
      <c r="B2" t="s">
        <v>63</v>
      </c>
      <c r="C2" t="s">
        <v>76</v>
      </c>
      <c r="D2" t="s">
        <v>39</v>
      </c>
      <c r="E2" t="s">
        <v>39</v>
      </c>
      <c r="F2" t="s">
        <v>19</v>
      </c>
      <c r="G2" t="s">
        <v>69</v>
      </c>
      <c r="H2" t="s">
        <v>69</v>
      </c>
      <c r="I2" t="s">
        <v>16</v>
      </c>
      <c r="J2">
        <v>7</v>
      </c>
      <c r="K2" t="s">
        <v>79</v>
      </c>
      <c r="L2">
        <v>89</v>
      </c>
      <c r="M2">
        <v>47</v>
      </c>
      <c r="N2">
        <v>623</v>
      </c>
      <c r="O2">
        <v>329</v>
      </c>
      <c r="P2">
        <v>294</v>
      </c>
      <c r="Q2" s="18">
        <v>0.47191011235955099</v>
      </c>
    </row>
    <row r="3" spans="1:17" x14ac:dyDescent="0.25">
      <c r="A3" s="17">
        <v>46199</v>
      </c>
      <c r="B3" t="s">
        <v>22</v>
      </c>
      <c r="C3" t="s">
        <v>51</v>
      </c>
      <c r="D3" t="s">
        <v>39</v>
      </c>
      <c r="E3" t="s">
        <v>39</v>
      </c>
      <c r="F3" t="s">
        <v>9</v>
      </c>
      <c r="G3" t="s">
        <v>49</v>
      </c>
      <c r="H3" t="s">
        <v>69</v>
      </c>
      <c r="I3" t="s">
        <v>16</v>
      </c>
      <c r="J3">
        <v>1</v>
      </c>
      <c r="K3" t="s">
        <v>80</v>
      </c>
      <c r="L3">
        <v>54</v>
      </c>
      <c r="M3">
        <v>28</v>
      </c>
      <c r="N3">
        <v>54</v>
      </c>
      <c r="O3">
        <v>28</v>
      </c>
      <c r="P3">
        <v>26</v>
      </c>
      <c r="Q3" s="18">
        <v>0.48148148148148101</v>
      </c>
    </row>
    <row r="4" spans="1:17" x14ac:dyDescent="0.25">
      <c r="A4" s="17">
        <v>46172</v>
      </c>
      <c r="B4" t="s">
        <v>42</v>
      </c>
      <c r="C4" t="s">
        <v>42</v>
      </c>
      <c r="D4" t="s">
        <v>8</v>
      </c>
      <c r="E4" t="s">
        <v>39</v>
      </c>
      <c r="F4" t="s">
        <v>29</v>
      </c>
      <c r="G4" t="s">
        <v>60</v>
      </c>
      <c r="H4" t="s">
        <v>10</v>
      </c>
      <c r="I4" t="s">
        <v>11</v>
      </c>
      <c r="J4">
        <v>7</v>
      </c>
      <c r="K4" t="s">
        <v>79</v>
      </c>
      <c r="L4">
        <v>32</v>
      </c>
      <c r="M4">
        <v>14</v>
      </c>
      <c r="N4">
        <v>224</v>
      </c>
      <c r="O4">
        <v>98</v>
      </c>
      <c r="P4">
        <v>126</v>
      </c>
      <c r="Q4" s="18">
        <v>0.5625</v>
      </c>
    </row>
    <row r="5" spans="1:17" x14ac:dyDescent="0.25">
      <c r="A5" s="17">
        <v>46214</v>
      </c>
      <c r="B5" t="s">
        <v>55</v>
      </c>
      <c r="C5" t="s">
        <v>71</v>
      </c>
      <c r="D5" t="s">
        <v>56</v>
      </c>
      <c r="E5" t="s">
        <v>28</v>
      </c>
      <c r="F5" t="s">
        <v>9</v>
      </c>
      <c r="G5" t="s">
        <v>49</v>
      </c>
      <c r="H5" t="s">
        <v>69</v>
      </c>
      <c r="I5" t="s">
        <v>54</v>
      </c>
      <c r="J5">
        <v>6</v>
      </c>
      <c r="K5" t="s">
        <v>79</v>
      </c>
      <c r="L5">
        <v>76</v>
      </c>
      <c r="M5">
        <v>39</v>
      </c>
      <c r="N5">
        <v>456</v>
      </c>
      <c r="O5">
        <v>234</v>
      </c>
      <c r="P5">
        <v>222</v>
      </c>
      <c r="Q5" s="18">
        <v>0.48684210526315802</v>
      </c>
    </row>
    <row r="6" spans="1:17" x14ac:dyDescent="0.25">
      <c r="A6" s="17">
        <v>46130</v>
      </c>
      <c r="B6" t="s">
        <v>27</v>
      </c>
      <c r="C6" t="s">
        <v>71</v>
      </c>
      <c r="D6" t="s">
        <v>52</v>
      </c>
      <c r="E6" t="s">
        <v>13</v>
      </c>
      <c r="F6" t="s">
        <v>19</v>
      </c>
      <c r="G6" t="s">
        <v>34</v>
      </c>
      <c r="H6" t="s">
        <v>10</v>
      </c>
      <c r="I6" t="s">
        <v>26</v>
      </c>
      <c r="J6">
        <v>6</v>
      </c>
      <c r="K6" t="s">
        <v>79</v>
      </c>
      <c r="L6">
        <v>76</v>
      </c>
      <c r="M6">
        <v>39</v>
      </c>
      <c r="N6">
        <v>456</v>
      </c>
      <c r="O6">
        <v>234</v>
      </c>
      <c r="P6">
        <v>222</v>
      </c>
      <c r="Q6" s="18">
        <v>0.48684210526315802</v>
      </c>
    </row>
    <row r="7" spans="1:17" x14ac:dyDescent="0.25">
      <c r="A7" s="17">
        <v>46093</v>
      </c>
      <c r="B7" t="s">
        <v>65</v>
      </c>
      <c r="C7" t="s">
        <v>65</v>
      </c>
      <c r="D7" t="s">
        <v>28</v>
      </c>
      <c r="E7" t="s">
        <v>28</v>
      </c>
      <c r="F7" t="s">
        <v>24</v>
      </c>
      <c r="G7" t="s">
        <v>20</v>
      </c>
      <c r="H7" t="s">
        <v>69</v>
      </c>
      <c r="I7" t="s">
        <v>21</v>
      </c>
      <c r="J7">
        <v>6</v>
      </c>
      <c r="K7" t="s">
        <v>80</v>
      </c>
      <c r="L7">
        <v>128</v>
      </c>
      <c r="M7">
        <v>72</v>
      </c>
      <c r="N7">
        <v>768</v>
      </c>
      <c r="O7">
        <v>432</v>
      </c>
      <c r="P7">
        <v>336</v>
      </c>
      <c r="Q7" s="18">
        <v>0.4375</v>
      </c>
    </row>
    <row r="8" spans="1:17" x14ac:dyDescent="0.25">
      <c r="A8" s="17">
        <v>46191</v>
      </c>
      <c r="B8" t="s">
        <v>44</v>
      </c>
      <c r="C8" t="s">
        <v>65</v>
      </c>
      <c r="D8" t="s">
        <v>39</v>
      </c>
      <c r="E8" t="s">
        <v>39</v>
      </c>
      <c r="F8" t="s">
        <v>29</v>
      </c>
      <c r="G8" t="s">
        <v>60</v>
      </c>
      <c r="H8" t="s">
        <v>10</v>
      </c>
      <c r="I8" t="s">
        <v>31</v>
      </c>
      <c r="J8">
        <v>13</v>
      </c>
      <c r="K8" t="s">
        <v>81</v>
      </c>
      <c r="L8">
        <v>128</v>
      </c>
      <c r="M8">
        <v>72</v>
      </c>
      <c r="N8">
        <v>1664</v>
      </c>
      <c r="O8">
        <v>936</v>
      </c>
      <c r="P8">
        <v>728</v>
      </c>
      <c r="Q8" s="18">
        <v>0.4375</v>
      </c>
    </row>
    <row r="9" spans="1:17" x14ac:dyDescent="0.25">
      <c r="A9" s="17">
        <v>46212</v>
      </c>
      <c r="B9" t="s">
        <v>84</v>
      </c>
      <c r="C9" t="s">
        <v>76</v>
      </c>
      <c r="D9" t="s">
        <v>39</v>
      </c>
      <c r="E9" t="s">
        <v>39</v>
      </c>
      <c r="F9" t="s">
        <v>14</v>
      </c>
      <c r="G9" t="s">
        <v>30</v>
      </c>
      <c r="H9" t="s">
        <v>57</v>
      </c>
      <c r="I9" t="s">
        <v>31</v>
      </c>
      <c r="J9">
        <v>12</v>
      </c>
      <c r="K9" t="s">
        <v>81</v>
      </c>
      <c r="L9">
        <v>89</v>
      </c>
      <c r="M9">
        <v>47</v>
      </c>
      <c r="N9">
        <v>1068</v>
      </c>
      <c r="O9">
        <v>564</v>
      </c>
      <c r="P9">
        <v>504</v>
      </c>
      <c r="Q9" s="18">
        <v>0.47191011235955099</v>
      </c>
    </row>
    <row r="10" spans="1:17" x14ac:dyDescent="0.25">
      <c r="A10" s="17">
        <v>46038</v>
      </c>
      <c r="B10" t="s">
        <v>42</v>
      </c>
      <c r="C10" t="s">
        <v>42</v>
      </c>
      <c r="D10" t="s">
        <v>33</v>
      </c>
      <c r="E10" t="s">
        <v>39</v>
      </c>
      <c r="F10" t="s">
        <v>29</v>
      </c>
      <c r="G10" t="s">
        <v>60</v>
      </c>
      <c r="H10" t="s">
        <v>10</v>
      </c>
      <c r="I10" t="s">
        <v>50</v>
      </c>
      <c r="J10">
        <v>10</v>
      </c>
      <c r="K10" t="s">
        <v>81</v>
      </c>
      <c r="L10">
        <v>32</v>
      </c>
      <c r="M10">
        <v>14</v>
      </c>
      <c r="N10">
        <v>320</v>
      </c>
      <c r="O10">
        <v>140</v>
      </c>
      <c r="P10">
        <v>180</v>
      </c>
      <c r="Q10" s="18">
        <v>0.5625</v>
      </c>
    </row>
    <row r="11" spans="1:17" x14ac:dyDescent="0.25">
      <c r="A11" s="17">
        <v>46182</v>
      </c>
      <c r="B11" t="s">
        <v>59</v>
      </c>
      <c r="C11" t="s">
        <v>32</v>
      </c>
      <c r="D11" t="s">
        <v>39</v>
      </c>
      <c r="E11" t="s">
        <v>39</v>
      </c>
      <c r="F11" t="s">
        <v>9</v>
      </c>
      <c r="G11" t="s">
        <v>60</v>
      </c>
      <c r="H11" t="s">
        <v>10</v>
      </c>
      <c r="I11" t="s">
        <v>46</v>
      </c>
      <c r="J11">
        <v>15</v>
      </c>
      <c r="K11" t="s">
        <v>82</v>
      </c>
      <c r="L11">
        <v>105</v>
      </c>
      <c r="M11">
        <v>58</v>
      </c>
      <c r="N11">
        <v>1575</v>
      </c>
      <c r="O11">
        <v>870</v>
      </c>
      <c r="P11">
        <v>705</v>
      </c>
      <c r="Q11" s="18">
        <v>0.44761904761904803</v>
      </c>
    </row>
    <row r="12" spans="1:17" x14ac:dyDescent="0.25">
      <c r="A12" s="17">
        <v>46132</v>
      </c>
      <c r="B12" t="s">
        <v>27</v>
      </c>
      <c r="C12" t="s">
        <v>71</v>
      </c>
      <c r="D12" t="s">
        <v>39</v>
      </c>
      <c r="E12" t="s">
        <v>39</v>
      </c>
      <c r="F12" t="s">
        <v>14</v>
      </c>
      <c r="G12" t="s">
        <v>10</v>
      </c>
      <c r="H12" t="s">
        <v>10</v>
      </c>
      <c r="I12" t="s">
        <v>37</v>
      </c>
      <c r="J12">
        <v>8</v>
      </c>
      <c r="K12" t="s">
        <v>79</v>
      </c>
      <c r="L12">
        <v>76</v>
      </c>
      <c r="M12">
        <v>39</v>
      </c>
      <c r="N12">
        <v>608</v>
      </c>
      <c r="O12">
        <v>312</v>
      </c>
      <c r="P12">
        <v>296</v>
      </c>
      <c r="Q12" s="18">
        <v>0.48684210526315802</v>
      </c>
    </row>
    <row r="13" spans="1:17" x14ac:dyDescent="0.25">
      <c r="A13" s="17">
        <v>46097</v>
      </c>
      <c r="B13" t="s">
        <v>22</v>
      </c>
      <c r="C13" t="s">
        <v>51</v>
      </c>
      <c r="D13" t="s">
        <v>52</v>
      </c>
      <c r="E13" t="s">
        <v>13</v>
      </c>
      <c r="F13" t="s">
        <v>29</v>
      </c>
      <c r="G13" t="s">
        <v>10</v>
      </c>
      <c r="H13" t="s">
        <v>10</v>
      </c>
      <c r="I13" t="s">
        <v>50</v>
      </c>
      <c r="J13">
        <v>9</v>
      </c>
      <c r="K13" t="s">
        <v>81</v>
      </c>
      <c r="L13">
        <v>54</v>
      </c>
      <c r="M13">
        <v>28</v>
      </c>
      <c r="N13">
        <v>486</v>
      </c>
      <c r="O13">
        <v>252</v>
      </c>
      <c r="P13">
        <v>234</v>
      </c>
      <c r="Q13" s="18">
        <v>0.48148148148148101</v>
      </c>
    </row>
    <row r="14" spans="1:17" x14ac:dyDescent="0.25">
      <c r="A14" s="17">
        <v>46146</v>
      </c>
      <c r="B14" t="s">
        <v>85</v>
      </c>
      <c r="C14" t="s">
        <v>62</v>
      </c>
      <c r="D14" t="s">
        <v>56</v>
      </c>
      <c r="E14" t="s">
        <v>28</v>
      </c>
      <c r="F14" t="s">
        <v>29</v>
      </c>
      <c r="G14" t="s">
        <v>69</v>
      </c>
      <c r="H14" t="s">
        <v>69</v>
      </c>
      <c r="I14" t="s">
        <v>41</v>
      </c>
      <c r="J14">
        <v>14</v>
      </c>
      <c r="K14" t="s">
        <v>79</v>
      </c>
      <c r="L14">
        <v>112</v>
      </c>
      <c r="M14">
        <v>64</v>
      </c>
      <c r="N14">
        <v>1568</v>
      </c>
      <c r="O14">
        <v>896</v>
      </c>
      <c r="P14">
        <v>672</v>
      </c>
      <c r="Q14" s="18">
        <v>0.42857142857142899</v>
      </c>
    </row>
    <row r="15" spans="1:17" x14ac:dyDescent="0.25">
      <c r="A15" s="17">
        <v>46031</v>
      </c>
      <c r="B15" t="s">
        <v>74</v>
      </c>
      <c r="C15" t="s">
        <v>32</v>
      </c>
      <c r="D15" t="s">
        <v>33</v>
      </c>
      <c r="E15" t="s">
        <v>39</v>
      </c>
      <c r="F15" t="s">
        <v>29</v>
      </c>
      <c r="G15" t="s">
        <v>30</v>
      </c>
      <c r="H15" t="s">
        <v>57</v>
      </c>
      <c r="I15" t="s">
        <v>11</v>
      </c>
      <c r="J15">
        <v>4</v>
      </c>
      <c r="K15" t="s">
        <v>80</v>
      </c>
      <c r="L15">
        <v>105</v>
      </c>
      <c r="M15">
        <v>58</v>
      </c>
      <c r="N15">
        <v>420</v>
      </c>
      <c r="O15">
        <v>232</v>
      </c>
      <c r="P15">
        <v>188</v>
      </c>
      <c r="Q15" s="18">
        <v>0.44761904761904803</v>
      </c>
    </row>
    <row r="16" spans="1:17" x14ac:dyDescent="0.25">
      <c r="A16" s="17">
        <v>46199</v>
      </c>
      <c r="B16" t="s">
        <v>47</v>
      </c>
      <c r="C16" t="s">
        <v>17</v>
      </c>
      <c r="D16" t="s">
        <v>8</v>
      </c>
      <c r="E16" t="s">
        <v>39</v>
      </c>
      <c r="F16" t="s">
        <v>19</v>
      </c>
      <c r="G16" t="s">
        <v>53</v>
      </c>
      <c r="H16" t="s">
        <v>25</v>
      </c>
      <c r="I16" t="s">
        <v>16</v>
      </c>
      <c r="J16">
        <v>6</v>
      </c>
      <c r="K16" t="s">
        <v>80</v>
      </c>
      <c r="L16">
        <v>119</v>
      </c>
      <c r="M16">
        <v>67</v>
      </c>
      <c r="N16">
        <v>714</v>
      </c>
      <c r="O16">
        <v>402</v>
      </c>
      <c r="P16">
        <v>312</v>
      </c>
      <c r="Q16" s="18">
        <v>0.436974789915966</v>
      </c>
    </row>
    <row r="17" spans="1:17" x14ac:dyDescent="0.25">
      <c r="A17" s="17">
        <v>46226</v>
      </c>
      <c r="B17" t="s">
        <v>7</v>
      </c>
      <c r="C17" t="s">
        <v>42</v>
      </c>
      <c r="D17" t="s">
        <v>13</v>
      </c>
      <c r="E17" t="s">
        <v>13</v>
      </c>
      <c r="F17" t="s">
        <v>29</v>
      </c>
      <c r="G17" t="s">
        <v>25</v>
      </c>
      <c r="H17" t="s">
        <v>25</v>
      </c>
      <c r="I17" t="s">
        <v>58</v>
      </c>
      <c r="J17">
        <v>10</v>
      </c>
      <c r="K17" t="s">
        <v>81</v>
      </c>
      <c r="L17">
        <v>32</v>
      </c>
      <c r="M17">
        <v>14</v>
      </c>
      <c r="N17">
        <v>320</v>
      </c>
      <c r="O17">
        <v>140</v>
      </c>
      <c r="P17">
        <v>180</v>
      </c>
      <c r="Q17" s="18">
        <v>0.5625</v>
      </c>
    </row>
    <row r="18" spans="1:17" x14ac:dyDescent="0.25">
      <c r="A18" s="17">
        <v>46125</v>
      </c>
      <c r="B18" t="s">
        <v>55</v>
      </c>
      <c r="C18" t="s">
        <v>71</v>
      </c>
      <c r="D18" t="s">
        <v>68</v>
      </c>
      <c r="E18" t="s">
        <v>48</v>
      </c>
      <c r="F18" t="s">
        <v>19</v>
      </c>
      <c r="G18" t="s">
        <v>45</v>
      </c>
      <c r="H18" t="s">
        <v>45</v>
      </c>
      <c r="I18" t="s">
        <v>11</v>
      </c>
      <c r="J18">
        <v>7</v>
      </c>
      <c r="K18" t="s">
        <v>79</v>
      </c>
      <c r="L18">
        <v>76</v>
      </c>
      <c r="M18">
        <v>39</v>
      </c>
      <c r="N18">
        <v>532</v>
      </c>
      <c r="O18">
        <v>273</v>
      </c>
      <c r="P18">
        <v>259</v>
      </c>
      <c r="Q18" s="18">
        <v>0.48684210526315802</v>
      </c>
    </row>
    <row r="19" spans="1:17" x14ac:dyDescent="0.25">
      <c r="A19" s="17">
        <v>46162</v>
      </c>
      <c r="B19" t="s">
        <v>64</v>
      </c>
      <c r="C19" t="s">
        <v>42</v>
      </c>
      <c r="D19" t="s">
        <v>23</v>
      </c>
      <c r="E19" t="s">
        <v>13</v>
      </c>
      <c r="F19" t="s">
        <v>24</v>
      </c>
      <c r="G19" t="s">
        <v>34</v>
      </c>
      <c r="H19" t="s">
        <v>10</v>
      </c>
      <c r="I19" t="s">
        <v>26</v>
      </c>
      <c r="J19">
        <v>7</v>
      </c>
      <c r="K19" t="s">
        <v>82</v>
      </c>
      <c r="L19">
        <v>32</v>
      </c>
      <c r="M19">
        <v>14</v>
      </c>
      <c r="N19">
        <v>224</v>
      </c>
      <c r="O19">
        <v>98</v>
      </c>
      <c r="P19">
        <v>126</v>
      </c>
      <c r="Q19" s="18">
        <v>0.5625</v>
      </c>
    </row>
    <row r="20" spans="1:17" x14ac:dyDescent="0.25">
      <c r="A20" s="17">
        <v>46112</v>
      </c>
      <c r="B20" t="s">
        <v>32</v>
      </c>
      <c r="C20" t="s">
        <v>32</v>
      </c>
      <c r="D20" t="s">
        <v>68</v>
      </c>
      <c r="E20" t="s">
        <v>48</v>
      </c>
      <c r="F20" t="s">
        <v>9</v>
      </c>
      <c r="G20" t="s">
        <v>60</v>
      </c>
      <c r="H20" t="s">
        <v>10</v>
      </c>
      <c r="I20" t="s">
        <v>26</v>
      </c>
      <c r="J20">
        <v>11</v>
      </c>
      <c r="K20" t="s">
        <v>81</v>
      </c>
      <c r="L20">
        <v>105</v>
      </c>
      <c r="M20">
        <v>58</v>
      </c>
      <c r="N20">
        <v>1155</v>
      </c>
      <c r="O20">
        <v>638</v>
      </c>
      <c r="P20">
        <v>517</v>
      </c>
      <c r="Q20" s="18">
        <v>0.44761904761904803</v>
      </c>
    </row>
    <row r="21" spans="1:17" x14ac:dyDescent="0.25">
      <c r="A21" s="17">
        <v>46147</v>
      </c>
      <c r="B21" t="s">
        <v>55</v>
      </c>
      <c r="C21" t="s">
        <v>71</v>
      </c>
      <c r="D21" t="s">
        <v>56</v>
      </c>
      <c r="E21" t="s">
        <v>28</v>
      </c>
      <c r="F21" t="s">
        <v>19</v>
      </c>
      <c r="G21" t="s">
        <v>20</v>
      </c>
      <c r="H21" t="s">
        <v>69</v>
      </c>
      <c r="I21" t="s">
        <v>61</v>
      </c>
      <c r="J21">
        <v>6</v>
      </c>
      <c r="K21" t="s">
        <v>81</v>
      </c>
      <c r="L21">
        <v>76</v>
      </c>
      <c r="M21">
        <v>39</v>
      </c>
      <c r="N21">
        <v>456</v>
      </c>
      <c r="O21">
        <v>234</v>
      </c>
      <c r="P21">
        <v>222</v>
      </c>
      <c r="Q21" s="18">
        <v>0.48684210526315802</v>
      </c>
    </row>
    <row r="22" spans="1:17" x14ac:dyDescent="0.25">
      <c r="A22" s="17">
        <v>46241</v>
      </c>
      <c r="B22" t="s">
        <v>76</v>
      </c>
      <c r="C22" t="s">
        <v>76</v>
      </c>
      <c r="D22" t="s">
        <v>39</v>
      </c>
      <c r="E22" t="s">
        <v>39</v>
      </c>
      <c r="F22" t="s">
        <v>19</v>
      </c>
      <c r="G22" t="s">
        <v>34</v>
      </c>
      <c r="H22" t="s">
        <v>10</v>
      </c>
      <c r="I22" t="s">
        <v>41</v>
      </c>
      <c r="J22">
        <v>8</v>
      </c>
      <c r="K22" t="s">
        <v>80</v>
      </c>
      <c r="L22">
        <v>89</v>
      </c>
      <c r="M22">
        <v>47</v>
      </c>
      <c r="N22">
        <v>712</v>
      </c>
      <c r="O22">
        <v>376</v>
      </c>
      <c r="P22">
        <v>336</v>
      </c>
      <c r="Q22" s="18">
        <v>0.47191011235955099</v>
      </c>
    </row>
    <row r="23" spans="1:17" x14ac:dyDescent="0.25">
      <c r="A23" s="17">
        <v>46217</v>
      </c>
      <c r="B23" t="s">
        <v>75</v>
      </c>
      <c r="C23" t="s">
        <v>62</v>
      </c>
      <c r="D23" t="s">
        <v>13</v>
      </c>
      <c r="E23" t="s">
        <v>13</v>
      </c>
      <c r="F23" t="s">
        <v>29</v>
      </c>
      <c r="G23" t="s">
        <v>45</v>
      </c>
      <c r="H23" t="s">
        <v>45</v>
      </c>
      <c r="I23" t="s">
        <v>50</v>
      </c>
      <c r="J23">
        <v>5</v>
      </c>
      <c r="K23" t="s">
        <v>82</v>
      </c>
      <c r="L23">
        <v>112</v>
      </c>
      <c r="M23">
        <v>64</v>
      </c>
      <c r="N23">
        <v>560</v>
      </c>
      <c r="O23">
        <v>320</v>
      </c>
      <c r="P23">
        <v>240</v>
      </c>
      <c r="Q23" s="18">
        <v>0.42857142857142899</v>
      </c>
    </row>
    <row r="24" spans="1:17" x14ac:dyDescent="0.25">
      <c r="A24" s="17">
        <v>46034</v>
      </c>
      <c r="B24" t="s">
        <v>59</v>
      </c>
      <c r="C24" t="s">
        <v>32</v>
      </c>
      <c r="D24" t="s">
        <v>33</v>
      </c>
      <c r="E24" t="s">
        <v>39</v>
      </c>
      <c r="F24" t="s">
        <v>29</v>
      </c>
      <c r="G24" t="s">
        <v>66</v>
      </c>
      <c r="H24" t="s">
        <v>45</v>
      </c>
      <c r="I24" t="s">
        <v>61</v>
      </c>
      <c r="J24">
        <v>15</v>
      </c>
      <c r="K24" t="s">
        <v>80</v>
      </c>
      <c r="L24">
        <v>105</v>
      </c>
      <c r="M24">
        <v>58</v>
      </c>
      <c r="N24">
        <v>1575</v>
      </c>
      <c r="O24">
        <v>870</v>
      </c>
      <c r="P24">
        <v>705</v>
      </c>
      <c r="Q24" s="18">
        <v>0.44761904761904803</v>
      </c>
    </row>
    <row r="25" spans="1:17" x14ac:dyDescent="0.25">
      <c r="A25" s="17">
        <v>46050</v>
      </c>
      <c r="B25" t="s">
        <v>65</v>
      </c>
      <c r="C25" t="s">
        <v>65</v>
      </c>
      <c r="D25" t="s">
        <v>8</v>
      </c>
      <c r="E25" t="s">
        <v>39</v>
      </c>
      <c r="F25" t="s">
        <v>29</v>
      </c>
      <c r="G25" t="s">
        <v>15</v>
      </c>
      <c r="H25" t="s">
        <v>45</v>
      </c>
      <c r="I25" t="s">
        <v>46</v>
      </c>
      <c r="J25">
        <v>1</v>
      </c>
      <c r="K25" t="s">
        <v>80</v>
      </c>
      <c r="L25">
        <v>128</v>
      </c>
      <c r="M25">
        <v>72</v>
      </c>
      <c r="N25">
        <v>128</v>
      </c>
      <c r="O25">
        <v>72</v>
      </c>
      <c r="P25">
        <v>56</v>
      </c>
      <c r="Q25" s="18">
        <v>0.4375</v>
      </c>
    </row>
    <row r="26" spans="1:17" x14ac:dyDescent="0.25">
      <c r="A26" s="17">
        <v>46035</v>
      </c>
      <c r="B26" t="s">
        <v>71</v>
      </c>
      <c r="C26" t="s">
        <v>71</v>
      </c>
      <c r="D26" t="s">
        <v>23</v>
      </c>
      <c r="E26" t="s">
        <v>13</v>
      </c>
      <c r="F26" t="s">
        <v>24</v>
      </c>
      <c r="G26" t="s">
        <v>10</v>
      </c>
      <c r="H26" t="s">
        <v>10</v>
      </c>
      <c r="I26" t="s">
        <v>21</v>
      </c>
      <c r="J26">
        <v>12</v>
      </c>
      <c r="K26" t="s">
        <v>81</v>
      </c>
      <c r="L26">
        <v>76</v>
      </c>
      <c r="M26">
        <v>39</v>
      </c>
      <c r="N26">
        <v>912</v>
      </c>
      <c r="O26">
        <v>468</v>
      </c>
      <c r="P26">
        <v>444</v>
      </c>
      <c r="Q26" s="18">
        <v>0.48684210526315802</v>
      </c>
    </row>
    <row r="27" spans="1:17" x14ac:dyDescent="0.25">
      <c r="A27" s="17">
        <v>46094</v>
      </c>
      <c r="B27" t="s">
        <v>22</v>
      </c>
      <c r="C27" t="s">
        <v>51</v>
      </c>
      <c r="D27" t="s">
        <v>56</v>
      </c>
      <c r="E27" t="s">
        <v>28</v>
      </c>
      <c r="F27" t="s">
        <v>29</v>
      </c>
      <c r="G27" t="s">
        <v>45</v>
      </c>
      <c r="H27" t="s">
        <v>45</v>
      </c>
      <c r="I27" t="s">
        <v>37</v>
      </c>
      <c r="J27">
        <v>9</v>
      </c>
      <c r="K27" t="s">
        <v>82</v>
      </c>
      <c r="L27">
        <v>54</v>
      </c>
      <c r="M27">
        <v>28</v>
      </c>
      <c r="N27">
        <v>486</v>
      </c>
      <c r="O27">
        <v>252</v>
      </c>
      <c r="P27">
        <v>234</v>
      </c>
      <c r="Q27" s="18">
        <v>0.48148148148148101</v>
      </c>
    </row>
    <row r="28" spans="1:17" x14ac:dyDescent="0.25">
      <c r="A28" s="17">
        <v>46214</v>
      </c>
      <c r="B28" t="s">
        <v>74</v>
      </c>
      <c r="C28" t="s">
        <v>32</v>
      </c>
      <c r="D28" t="s">
        <v>39</v>
      </c>
      <c r="E28" t="s">
        <v>39</v>
      </c>
      <c r="F28" t="s">
        <v>29</v>
      </c>
      <c r="G28" t="s">
        <v>60</v>
      </c>
      <c r="H28" t="s">
        <v>10</v>
      </c>
      <c r="I28" t="s">
        <v>21</v>
      </c>
      <c r="J28">
        <v>5</v>
      </c>
      <c r="K28" t="s">
        <v>82</v>
      </c>
      <c r="L28">
        <v>105</v>
      </c>
      <c r="M28">
        <v>58</v>
      </c>
      <c r="N28">
        <v>525</v>
      </c>
      <c r="O28">
        <v>290</v>
      </c>
      <c r="P28">
        <v>235</v>
      </c>
      <c r="Q28" s="18">
        <v>0.44761904761904803</v>
      </c>
    </row>
    <row r="29" spans="1:17" x14ac:dyDescent="0.25">
      <c r="A29" s="17">
        <v>46091</v>
      </c>
      <c r="B29" t="s">
        <v>22</v>
      </c>
      <c r="C29" t="s">
        <v>51</v>
      </c>
      <c r="D29" t="s">
        <v>23</v>
      </c>
      <c r="E29" t="s">
        <v>13</v>
      </c>
      <c r="F29" t="s">
        <v>29</v>
      </c>
      <c r="G29" t="s">
        <v>10</v>
      </c>
      <c r="H29" t="s">
        <v>10</v>
      </c>
      <c r="I29" t="s">
        <v>61</v>
      </c>
      <c r="J29">
        <v>8</v>
      </c>
      <c r="K29" t="s">
        <v>79</v>
      </c>
      <c r="L29">
        <v>54</v>
      </c>
      <c r="M29">
        <v>28</v>
      </c>
      <c r="N29">
        <v>432</v>
      </c>
      <c r="O29">
        <v>224</v>
      </c>
      <c r="P29">
        <v>208</v>
      </c>
      <c r="Q29" s="18">
        <v>0.48148148148148101</v>
      </c>
    </row>
    <row r="30" spans="1:17" x14ac:dyDescent="0.25">
      <c r="A30" s="17">
        <v>46142</v>
      </c>
      <c r="B30" t="s">
        <v>59</v>
      </c>
      <c r="C30" t="s">
        <v>32</v>
      </c>
      <c r="D30" t="s">
        <v>33</v>
      </c>
      <c r="E30" t="s">
        <v>39</v>
      </c>
      <c r="F30" t="s">
        <v>19</v>
      </c>
      <c r="G30" t="s">
        <v>40</v>
      </c>
      <c r="H30" t="s">
        <v>25</v>
      </c>
      <c r="I30" t="s">
        <v>11</v>
      </c>
      <c r="J30">
        <v>2</v>
      </c>
      <c r="K30" t="s">
        <v>79</v>
      </c>
      <c r="L30">
        <v>105</v>
      </c>
      <c r="M30">
        <v>58</v>
      </c>
      <c r="N30">
        <v>210</v>
      </c>
      <c r="O30">
        <v>116</v>
      </c>
      <c r="P30">
        <v>94</v>
      </c>
      <c r="Q30" s="18">
        <v>0.44761904761904803</v>
      </c>
    </row>
    <row r="31" spans="1:17" x14ac:dyDescent="0.25">
      <c r="A31" s="17">
        <v>46068</v>
      </c>
      <c r="B31" t="s">
        <v>38</v>
      </c>
      <c r="C31" t="s">
        <v>76</v>
      </c>
      <c r="D31" t="s">
        <v>39</v>
      </c>
      <c r="E31" t="s">
        <v>39</v>
      </c>
      <c r="F31" t="s">
        <v>24</v>
      </c>
      <c r="G31" t="s">
        <v>53</v>
      </c>
      <c r="H31" t="s">
        <v>25</v>
      </c>
      <c r="I31" t="s">
        <v>43</v>
      </c>
      <c r="J31">
        <v>7</v>
      </c>
      <c r="K31" t="s">
        <v>81</v>
      </c>
      <c r="L31">
        <v>89</v>
      </c>
      <c r="M31">
        <v>47</v>
      </c>
      <c r="N31">
        <v>623</v>
      </c>
      <c r="O31">
        <v>329</v>
      </c>
      <c r="P31">
        <v>294</v>
      </c>
      <c r="Q31" s="18">
        <v>0.47191011235955099</v>
      </c>
    </row>
    <row r="32" spans="1:17" x14ac:dyDescent="0.25">
      <c r="A32" s="17">
        <v>46219</v>
      </c>
      <c r="B32" t="s">
        <v>36</v>
      </c>
      <c r="C32" t="s">
        <v>62</v>
      </c>
      <c r="D32" t="s">
        <v>33</v>
      </c>
      <c r="E32" t="s">
        <v>39</v>
      </c>
      <c r="F32" t="s">
        <v>19</v>
      </c>
      <c r="G32" t="s">
        <v>66</v>
      </c>
      <c r="H32" t="s">
        <v>45</v>
      </c>
      <c r="I32" t="s">
        <v>41</v>
      </c>
      <c r="J32">
        <v>12</v>
      </c>
      <c r="K32" t="s">
        <v>82</v>
      </c>
      <c r="L32">
        <v>112</v>
      </c>
      <c r="M32">
        <v>64</v>
      </c>
      <c r="N32">
        <v>1344</v>
      </c>
      <c r="O32">
        <v>768</v>
      </c>
      <c r="P32">
        <v>576</v>
      </c>
      <c r="Q32" s="18">
        <v>0.42857142857142899</v>
      </c>
    </row>
    <row r="33" spans="1:17" x14ac:dyDescent="0.25">
      <c r="A33" s="17">
        <v>46185</v>
      </c>
      <c r="B33" t="s">
        <v>86</v>
      </c>
      <c r="C33" t="s">
        <v>65</v>
      </c>
      <c r="D33" t="s">
        <v>33</v>
      </c>
      <c r="E33" t="s">
        <v>39</v>
      </c>
      <c r="F33" t="s">
        <v>24</v>
      </c>
      <c r="G33" t="s">
        <v>34</v>
      </c>
      <c r="H33" t="s">
        <v>10</v>
      </c>
      <c r="I33" t="s">
        <v>61</v>
      </c>
      <c r="J33">
        <v>15</v>
      </c>
      <c r="K33" t="s">
        <v>80</v>
      </c>
      <c r="L33">
        <v>128</v>
      </c>
      <c r="M33">
        <v>72</v>
      </c>
      <c r="N33">
        <v>1920</v>
      </c>
      <c r="O33">
        <v>1080</v>
      </c>
      <c r="P33">
        <v>840</v>
      </c>
      <c r="Q33" s="18">
        <v>0.4375</v>
      </c>
    </row>
    <row r="34" spans="1:17" x14ac:dyDescent="0.25">
      <c r="A34" s="17">
        <v>46236</v>
      </c>
      <c r="B34" t="s">
        <v>55</v>
      </c>
      <c r="C34" t="s">
        <v>71</v>
      </c>
      <c r="D34" t="s">
        <v>8</v>
      </c>
      <c r="E34" t="s">
        <v>39</v>
      </c>
      <c r="F34" t="s">
        <v>19</v>
      </c>
      <c r="G34" t="s">
        <v>25</v>
      </c>
      <c r="H34" t="s">
        <v>25</v>
      </c>
      <c r="I34" t="s">
        <v>16</v>
      </c>
      <c r="J34">
        <v>7</v>
      </c>
      <c r="K34" t="s">
        <v>82</v>
      </c>
      <c r="L34">
        <v>76</v>
      </c>
      <c r="M34">
        <v>39</v>
      </c>
      <c r="N34">
        <v>532</v>
      </c>
      <c r="O34">
        <v>273</v>
      </c>
      <c r="P34">
        <v>259</v>
      </c>
      <c r="Q34" s="18">
        <v>0.48684210526315802</v>
      </c>
    </row>
    <row r="35" spans="1:17" x14ac:dyDescent="0.25">
      <c r="A35" s="17">
        <v>46111</v>
      </c>
      <c r="B35" t="s">
        <v>75</v>
      </c>
      <c r="C35" t="s">
        <v>62</v>
      </c>
      <c r="D35" t="s">
        <v>33</v>
      </c>
      <c r="E35" t="s">
        <v>39</v>
      </c>
      <c r="F35" t="s">
        <v>9</v>
      </c>
      <c r="G35" t="s">
        <v>49</v>
      </c>
      <c r="H35" t="s">
        <v>69</v>
      </c>
      <c r="I35" t="s">
        <v>46</v>
      </c>
      <c r="J35">
        <v>10</v>
      </c>
      <c r="K35" t="s">
        <v>79</v>
      </c>
      <c r="L35">
        <v>112</v>
      </c>
      <c r="M35">
        <v>64</v>
      </c>
      <c r="N35">
        <v>1120</v>
      </c>
      <c r="O35">
        <v>640</v>
      </c>
      <c r="P35">
        <v>480</v>
      </c>
      <c r="Q35" s="18">
        <v>0.42857142857142899</v>
      </c>
    </row>
    <row r="36" spans="1:17" x14ac:dyDescent="0.25">
      <c r="A36" s="17">
        <v>46132</v>
      </c>
      <c r="B36" t="s">
        <v>63</v>
      </c>
      <c r="C36" t="s">
        <v>76</v>
      </c>
      <c r="D36" t="s">
        <v>48</v>
      </c>
      <c r="E36" t="s">
        <v>48</v>
      </c>
      <c r="F36" t="s">
        <v>29</v>
      </c>
      <c r="G36" t="s">
        <v>49</v>
      </c>
      <c r="H36" t="s">
        <v>69</v>
      </c>
      <c r="I36" t="s">
        <v>58</v>
      </c>
      <c r="J36">
        <v>7</v>
      </c>
      <c r="K36" t="s">
        <v>79</v>
      </c>
      <c r="L36">
        <v>89</v>
      </c>
      <c r="M36">
        <v>47</v>
      </c>
      <c r="N36">
        <v>623</v>
      </c>
      <c r="O36">
        <v>329</v>
      </c>
      <c r="P36">
        <v>294</v>
      </c>
      <c r="Q36" s="18">
        <v>0.47191011235955099</v>
      </c>
    </row>
    <row r="37" spans="1:17" x14ac:dyDescent="0.25">
      <c r="A37" s="17">
        <v>46228</v>
      </c>
      <c r="B37" t="s">
        <v>55</v>
      </c>
      <c r="C37" t="s">
        <v>71</v>
      </c>
      <c r="D37" t="s">
        <v>33</v>
      </c>
      <c r="E37" t="s">
        <v>39</v>
      </c>
      <c r="F37" t="s">
        <v>19</v>
      </c>
      <c r="G37" t="s">
        <v>30</v>
      </c>
      <c r="H37" t="s">
        <v>57</v>
      </c>
      <c r="I37" t="s">
        <v>54</v>
      </c>
      <c r="J37">
        <v>5</v>
      </c>
      <c r="K37" t="s">
        <v>80</v>
      </c>
      <c r="L37">
        <v>76</v>
      </c>
      <c r="M37">
        <v>39</v>
      </c>
      <c r="N37">
        <v>380</v>
      </c>
      <c r="O37">
        <v>195</v>
      </c>
      <c r="P37">
        <v>185</v>
      </c>
      <c r="Q37" s="18">
        <v>0.48684210526315802</v>
      </c>
    </row>
    <row r="38" spans="1:17" x14ac:dyDescent="0.25">
      <c r="A38" s="17">
        <v>46176</v>
      </c>
      <c r="B38" t="s">
        <v>71</v>
      </c>
      <c r="C38" t="s">
        <v>71</v>
      </c>
      <c r="D38" t="s">
        <v>8</v>
      </c>
      <c r="E38" t="s">
        <v>39</v>
      </c>
      <c r="F38" t="s">
        <v>19</v>
      </c>
      <c r="G38" t="s">
        <v>10</v>
      </c>
      <c r="H38" t="s">
        <v>10</v>
      </c>
      <c r="I38" t="s">
        <v>37</v>
      </c>
      <c r="J38">
        <v>11</v>
      </c>
      <c r="K38" t="s">
        <v>79</v>
      </c>
      <c r="L38">
        <v>76</v>
      </c>
      <c r="M38">
        <v>39</v>
      </c>
      <c r="N38">
        <v>836</v>
      </c>
      <c r="O38">
        <v>429</v>
      </c>
      <c r="P38">
        <v>407</v>
      </c>
      <c r="Q38" s="18">
        <v>0.48684210526315802</v>
      </c>
    </row>
    <row r="39" spans="1:17" x14ac:dyDescent="0.25">
      <c r="A39" s="17">
        <v>46226</v>
      </c>
      <c r="B39" t="s">
        <v>67</v>
      </c>
      <c r="C39" t="s">
        <v>17</v>
      </c>
      <c r="D39" t="s">
        <v>23</v>
      </c>
      <c r="E39" t="s">
        <v>13</v>
      </c>
      <c r="F39" t="s">
        <v>19</v>
      </c>
      <c r="G39" t="s">
        <v>40</v>
      </c>
      <c r="H39" t="s">
        <v>25</v>
      </c>
      <c r="I39" t="s">
        <v>61</v>
      </c>
      <c r="J39">
        <v>10</v>
      </c>
      <c r="K39" t="s">
        <v>79</v>
      </c>
      <c r="L39">
        <v>119</v>
      </c>
      <c r="M39">
        <v>67</v>
      </c>
      <c r="N39">
        <v>1190</v>
      </c>
      <c r="O39">
        <v>670</v>
      </c>
      <c r="P39">
        <v>520</v>
      </c>
      <c r="Q39" s="18">
        <v>0.436974789915966</v>
      </c>
    </row>
    <row r="40" spans="1:17" x14ac:dyDescent="0.25">
      <c r="A40" s="17">
        <v>46228</v>
      </c>
      <c r="B40" t="s">
        <v>22</v>
      </c>
      <c r="C40" t="s">
        <v>51</v>
      </c>
      <c r="D40" t="s">
        <v>48</v>
      </c>
      <c r="E40" t="s">
        <v>48</v>
      </c>
      <c r="F40" t="s">
        <v>29</v>
      </c>
      <c r="G40" t="s">
        <v>34</v>
      </c>
      <c r="H40" t="s">
        <v>10</v>
      </c>
      <c r="I40" t="s">
        <v>31</v>
      </c>
      <c r="J40">
        <v>10</v>
      </c>
      <c r="K40" t="s">
        <v>82</v>
      </c>
      <c r="L40">
        <v>54</v>
      </c>
      <c r="M40">
        <v>28</v>
      </c>
      <c r="N40">
        <v>540</v>
      </c>
      <c r="O40">
        <v>280</v>
      </c>
      <c r="P40">
        <v>260</v>
      </c>
      <c r="Q40" s="18">
        <v>0.48148148148148101</v>
      </c>
    </row>
    <row r="41" spans="1:17" x14ac:dyDescent="0.25">
      <c r="A41" s="17">
        <v>46176</v>
      </c>
      <c r="B41" t="s">
        <v>59</v>
      </c>
      <c r="C41" t="s">
        <v>32</v>
      </c>
      <c r="D41" t="s">
        <v>39</v>
      </c>
      <c r="E41" t="s">
        <v>39</v>
      </c>
      <c r="F41" t="s">
        <v>19</v>
      </c>
      <c r="G41" t="s">
        <v>66</v>
      </c>
      <c r="H41" t="s">
        <v>45</v>
      </c>
      <c r="I41" t="s">
        <v>41</v>
      </c>
      <c r="J41">
        <v>13</v>
      </c>
      <c r="K41" t="s">
        <v>79</v>
      </c>
      <c r="L41">
        <v>105</v>
      </c>
      <c r="M41">
        <v>58</v>
      </c>
      <c r="N41">
        <v>1365</v>
      </c>
      <c r="O41">
        <v>754</v>
      </c>
      <c r="P41">
        <v>611</v>
      </c>
      <c r="Q41" s="18">
        <v>0.44761904761904803</v>
      </c>
    </row>
    <row r="42" spans="1:17" x14ac:dyDescent="0.25">
      <c r="A42" s="17">
        <v>46090</v>
      </c>
      <c r="B42" t="s">
        <v>36</v>
      </c>
      <c r="C42" t="s">
        <v>62</v>
      </c>
      <c r="D42" t="s">
        <v>33</v>
      </c>
      <c r="E42" t="s">
        <v>39</v>
      </c>
      <c r="F42" t="s">
        <v>24</v>
      </c>
      <c r="G42" t="s">
        <v>60</v>
      </c>
      <c r="H42" t="s">
        <v>10</v>
      </c>
      <c r="I42" t="s">
        <v>31</v>
      </c>
      <c r="J42">
        <v>7</v>
      </c>
      <c r="K42" t="s">
        <v>81</v>
      </c>
      <c r="L42">
        <v>112</v>
      </c>
      <c r="M42">
        <v>64</v>
      </c>
      <c r="N42">
        <v>784</v>
      </c>
      <c r="O42">
        <v>448</v>
      </c>
      <c r="P42">
        <v>336</v>
      </c>
      <c r="Q42" s="18">
        <v>0.42857142857142899</v>
      </c>
    </row>
    <row r="43" spans="1:17" x14ac:dyDescent="0.25">
      <c r="A43" s="17">
        <v>46072</v>
      </c>
      <c r="B43" t="s">
        <v>71</v>
      </c>
      <c r="C43" t="s">
        <v>71</v>
      </c>
      <c r="D43" t="s">
        <v>18</v>
      </c>
      <c r="E43" t="s">
        <v>48</v>
      </c>
      <c r="F43" t="s">
        <v>29</v>
      </c>
      <c r="G43" t="s">
        <v>69</v>
      </c>
      <c r="H43" t="s">
        <v>69</v>
      </c>
      <c r="I43" t="s">
        <v>11</v>
      </c>
      <c r="J43">
        <v>14</v>
      </c>
      <c r="K43" t="s">
        <v>81</v>
      </c>
      <c r="L43">
        <v>76</v>
      </c>
      <c r="M43">
        <v>39</v>
      </c>
      <c r="N43">
        <v>1064</v>
      </c>
      <c r="O43">
        <v>546</v>
      </c>
      <c r="P43">
        <v>518</v>
      </c>
      <c r="Q43" s="18">
        <v>0.48684210526315802</v>
      </c>
    </row>
    <row r="44" spans="1:17" x14ac:dyDescent="0.25">
      <c r="A44" s="17">
        <v>46220</v>
      </c>
      <c r="B44" t="s">
        <v>59</v>
      </c>
      <c r="C44" t="s">
        <v>32</v>
      </c>
      <c r="D44" t="s">
        <v>68</v>
      </c>
      <c r="E44" t="s">
        <v>48</v>
      </c>
      <c r="F44" t="s">
        <v>29</v>
      </c>
      <c r="G44" t="s">
        <v>34</v>
      </c>
      <c r="H44" t="s">
        <v>10</v>
      </c>
      <c r="I44" t="s">
        <v>21</v>
      </c>
      <c r="J44">
        <v>13</v>
      </c>
      <c r="K44" t="s">
        <v>82</v>
      </c>
      <c r="L44">
        <v>105</v>
      </c>
      <c r="M44">
        <v>58</v>
      </c>
      <c r="N44">
        <v>1365</v>
      </c>
      <c r="O44">
        <v>754</v>
      </c>
      <c r="P44">
        <v>611</v>
      </c>
      <c r="Q44" s="18">
        <v>0.44761904761904803</v>
      </c>
    </row>
    <row r="45" spans="1:17" x14ac:dyDescent="0.25">
      <c r="A45" s="17">
        <v>46127</v>
      </c>
      <c r="B45" t="s">
        <v>51</v>
      </c>
      <c r="C45" t="s">
        <v>51</v>
      </c>
      <c r="D45" t="s">
        <v>48</v>
      </c>
      <c r="E45" t="s">
        <v>48</v>
      </c>
      <c r="F45" t="s">
        <v>19</v>
      </c>
      <c r="G45" t="s">
        <v>69</v>
      </c>
      <c r="H45" t="s">
        <v>69</v>
      </c>
      <c r="I45" t="s">
        <v>58</v>
      </c>
      <c r="J45">
        <v>3</v>
      </c>
      <c r="K45" t="s">
        <v>80</v>
      </c>
      <c r="L45">
        <v>54</v>
      </c>
      <c r="M45">
        <v>28</v>
      </c>
      <c r="N45">
        <v>162</v>
      </c>
      <c r="O45">
        <v>84</v>
      </c>
      <c r="P45">
        <v>78</v>
      </c>
      <c r="Q45" s="18">
        <v>0.48148148148148101</v>
      </c>
    </row>
    <row r="46" spans="1:17" x14ac:dyDescent="0.25">
      <c r="A46" s="17">
        <v>46131</v>
      </c>
      <c r="B46" t="s">
        <v>71</v>
      </c>
      <c r="C46" t="s">
        <v>71</v>
      </c>
      <c r="D46" t="s">
        <v>33</v>
      </c>
      <c r="E46" t="s">
        <v>39</v>
      </c>
      <c r="F46" t="s">
        <v>29</v>
      </c>
      <c r="G46" t="s">
        <v>15</v>
      </c>
      <c r="H46" t="s">
        <v>45</v>
      </c>
      <c r="I46" t="s">
        <v>26</v>
      </c>
      <c r="J46">
        <v>1</v>
      </c>
      <c r="K46" t="s">
        <v>79</v>
      </c>
      <c r="L46">
        <v>76</v>
      </c>
      <c r="M46">
        <v>39</v>
      </c>
      <c r="N46">
        <v>76</v>
      </c>
      <c r="O46">
        <v>39</v>
      </c>
      <c r="P46">
        <v>37</v>
      </c>
      <c r="Q46" s="18">
        <v>0.48684210526315802</v>
      </c>
    </row>
    <row r="47" spans="1:17" x14ac:dyDescent="0.25">
      <c r="A47" s="17">
        <v>46165</v>
      </c>
      <c r="B47" t="s">
        <v>75</v>
      </c>
      <c r="C47" t="s">
        <v>62</v>
      </c>
      <c r="D47" t="s">
        <v>39</v>
      </c>
      <c r="E47" t="s">
        <v>39</v>
      </c>
      <c r="F47" t="s">
        <v>19</v>
      </c>
      <c r="G47" t="s">
        <v>34</v>
      </c>
      <c r="H47" t="s">
        <v>10</v>
      </c>
      <c r="I47" t="s">
        <v>41</v>
      </c>
      <c r="J47">
        <v>9</v>
      </c>
      <c r="K47" t="s">
        <v>82</v>
      </c>
      <c r="L47">
        <v>112</v>
      </c>
      <c r="M47">
        <v>64</v>
      </c>
      <c r="N47">
        <v>1008</v>
      </c>
      <c r="O47">
        <v>576</v>
      </c>
      <c r="P47">
        <v>432</v>
      </c>
      <c r="Q47" s="18">
        <v>0.42857142857142899</v>
      </c>
    </row>
    <row r="48" spans="1:17" x14ac:dyDescent="0.25">
      <c r="A48" s="17">
        <v>46237</v>
      </c>
      <c r="B48" t="s">
        <v>71</v>
      </c>
      <c r="C48" t="s">
        <v>71</v>
      </c>
      <c r="D48" t="s">
        <v>8</v>
      </c>
      <c r="E48" t="s">
        <v>39</v>
      </c>
      <c r="F48" t="s">
        <v>29</v>
      </c>
      <c r="G48" t="s">
        <v>40</v>
      </c>
      <c r="H48" t="s">
        <v>25</v>
      </c>
      <c r="I48" t="s">
        <v>43</v>
      </c>
      <c r="J48">
        <v>5</v>
      </c>
      <c r="K48" t="s">
        <v>82</v>
      </c>
      <c r="L48">
        <v>76</v>
      </c>
      <c r="M48">
        <v>39</v>
      </c>
      <c r="N48">
        <v>380</v>
      </c>
      <c r="O48">
        <v>195</v>
      </c>
      <c r="P48">
        <v>185</v>
      </c>
      <c r="Q48" s="18">
        <v>0.48684210526315802</v>
      </c>
    </row>
    <row r="49" spans="1:17" x14ac:dyDescent="0.25">
      <c r="A49" s="17">
        <v>46086</v>
      </c>
      <c r="B49" t="s">
        <v>59</v>
      </c>
      <c r="C49" t="s">
        <v>32</v>
      </c>
      <c r="D49" t="s">
        <v>23</v>
      </c>
      <c r="E49" t="s">
        <v>13</v>
      </c>
      <c r="F49" t="s">
        <v>9</v>
      </c>
      <c r="G49" t="s">
        <v>20</v>
      </c>
      <c r="H49" t="s">
        <v>69</v>
      </c>
      <c r="I49" t="s">
        <v>31</v>
      </c>
      <c r="J49">
        <v>11</v>
      </c>
      <c r="K49" t="s">
        <v>82</v>
      </c>
      <c r="L49">
        <v>105</v>
      </c>
      <c r="M49">
        <v>58</v>
      </c>
      <c r="N49">
        <v>1155</v>
      </c>
      <c r="O49">
        <v>638</v>
      </c>
      <c r="P49">
        <v>517</v>
      </c>
      <c r="Q49" s="18">
        <v>0.44761904761904803</v>
      </c>
    </row>
    <row r="50" spans="1:17" x14ac:dyDescent="0.25">
      <c r="A50" s="17">
        <v>46110</v>
      </c>
      <c r="B50" t="s">
        <v>70</v>
      </c>
      <c r="C50" t="s">
        <v>51</v>
      </c>
      <c r="D50" t="s">
        <v>33</v>
      </c>
      <c r="E50" t="s">
        <v>39</v>
      </c>
      <c r="F50" t="s">
        <v>9</v>
      </c>
      <c r="G50" t="s">
        <v>40</v>
      </c>
      <c r="H50" t="s">
        <v>25</v>
      </c>
      <c r="I50" t="s">
        <v>31</v>
      </c>
      <c r="J50">
        <v>6</v>
      </c>
      <c r="K50" t="s">
        <v>80</v>
      </c>
      <c r="L50">
        <v>54</v>
      </c>
      <c r="M50">
        <v>28</v>
      </c>
      <c r="N50">
        <v>324</v>
      </c>
      <c r="O50">
        <v>168</v>
      </c>
      <c r="P50">
        <v>156</v>
      </c>
      <c r="Q50" s="18">
        <v>0.48148148148148101</v>
      </c>
    </row>
    <row r="51" spans="1:17" x14ac:dyDescent="0.25">
      <c r="A51" s="17">
        <v>46200</v>
      </c>
      <c r="B51" t="s">
        <v>27</v>
      </c>
      <c r="C51" t="s">
        <v>71</v>
      </c>
      <c r="D51" t="s">
        <v>56</v>
      </c>
      <c r="E51" t="s">
        <v>28</v>
      </c>
      <c r="F51" t="s">
        <v>24</v>
      </c>
      <c r="G51" t="s">
        <v>40</v>
      </c>
      <c r="H51" t="s">
        <v>25</v>
      </c>
      <c r="I51" t="s">
        <v>35</v>
      </c>
      <c r="J51">
        <v>1</v>
      </c>
      <c r="K51" t="s">
        <v>82</v>
      </c>
      <c r="L51">
        <v>76</v>
      </c>
      <c r="M51">
        <v>39</v>
      </c>
      <c r="N51">
        <v>76</v>
      </c>
      <c r="O51">
        <v>39</v>
      </c>
      <c r="P51">
        <v>37</v>
      </c>
      <c r="Q51" s="18">
        <v>0.48684210526315802</v>
      </c>
    </row>
    <row r="52" spans="1:17" x14ac:dyDescent="0.25">
      <c r="A52" s="17">
        <v>46240</v>
      </c>
      <c r="B52" t="s">
        <v>86</v>
      </c>
      <c r="C52" t="s">
        <v>65</v>
      </c>
      <c r="D52" t="s">
        <v>13</v>
      </c>
      <c r="E52" t="s">
        <v>13</v>
      </c>
      <c r="F52" t="s">
        <v>19</v>
      </c>
      <c r="G52" t="s">
        <v>60</v>
      </c>
      <c r="H52" t="s">
        <v>10</v>
      </c>
      <c r="I52" t="s">
        <v>43</v>
      </c>
      <c r="J52">
        <v>4</v>
      </c>
      <c r="K52" t="s">
        <v>79</v>
      </c>
      <c r="L52">
        <v>128</v>
      </c>
      <c r="M52">
        <v>72</v>
      </c>
      <c r="N52">
        <v>512</v>
      </c>
      <c r="O52">
        <v>288</v>
      </c>
      <c r="P52">
        <v>224</v>
      </c>
      <c r="Q52" s="18">
        <v>0.4375</v>
      </c>
    </row>
    <row r="53" spans="1:17" x14ac:dyDescent="0.25">
      <c r="A53" s="17">
        <v>46051</v>
      </c>
      <c r="B53" t="s">
        <v>74</v>
      </c>
      <c r="C53" t="s">
        <v>32</v>
      </c>
      <c r="D53" t="s">
        <v>56</v>
      </c>
      <c r="E53" t="s">
        <v>28</v>
      </c>
      <c r="F53" t="s">
        <v>9</v>
      </c>
      <c r="G53" t="s">
        <v>60</v>
      </c>
      <c r="H53" t="s">
        <v>10</v>
      </c>
      <c r="I53" t="s">
        <v>37</v>
      </c>
      <c r="J53">
        <v>5</v>
      </c>
      <c r="K53" t="s">
        <v>81</v>
      </c>
      <c r="L53">
        <v>105</v>
      </c>
      <c r="M53">
        <v>58</v>
      </c>
      <c r="N53">
        <v>525</v>
      </c>
      <c r="O53">
        <v>290</v>
      </c>
      <c r="P53">
        <v>235</v>
      </c>
      <c r="Q53" s="18">
        <v>0.44761904761904803</v>
      </c>
    </row>
    <row r="54" spans="1:17" x14ac:dyDescent="0.25">
      <c r="A54" s="17">
        <v>46086</v>
      </c>
      <c r="B54" t="s">
        <v>63</v>
      </c>
      <c r="C54" t="s">
        <v>76</v>
      </c>
      <c r="D54" t="s">
        <v>39</v>
      </c>
      <c r="E54" t="s">
        <v>39</v>
      </c>
      <c r="F54" t="s">
        <v>9</v>
      </c>
      <c r="G54" t="s">
        <v>40</v>
      </c>
      <c r="H54" t="s">
        <v>25</v>
      </c>
      <c r="I54" t="s">
        <v>16</v>
      </c>
      <c r="J54">
        <v>4</v>
      </c>
      <c r="K54" t="s">
        <v>80</v>
      </c>
      <c r="L54">
        <v>89</v>
      </c>
      <c r="M54">
        <v>47</v>
      </c>
      <c r="N54">
        <v>356</v>
      </c>
      <c r="O54">
        <v>188</v>
      </c>
      <c r="P54">
        <v>168</v>
      </c>
      <c r="Q54" s="18">
        <v>0.47191011235955099</v>
      </c>
    </row>
    <row r="55" spans="1:17" x14ac:dyDescent="0.25">
      <c r="A55" s="17">
        <v>46069</v>
      </c>
      <c r="B55" t="s">
        <v>36</v>
      </c>
      <c r="C55" t="s">
        <v>62</v>
      </c>
      <c r="D55" t="s">
        <v>33</v>
      </c>
      <c r="E55" t="s">
        <v>39</v>
      </c>
      <c r="F55" t="s">
        <v>9</v>
      </c>
      <c r="G55" t="s">
        <v>25</v>
      </c>
      <c r="H55" t="s">
        <v>25</v>
      </c>
      <c r="I55" t="s">
        <v>11</v>
      </c>
      <c r="J55">
        <v>1</v>
      </c>
      <c r="K55" t="s">
        <v>82</v>
      </c>
      <c r="L55">
        <v>112</v>
      </c>
      <c r="M55">
        <v>64</v>
      </c>
      <c r="N55">
        <v>112</v>
      </c>
      <c r="O55">
        <v>64</v>
      </c>
      <c r="P55">
        <v>48</v>
      </c>
      <c r="Q55" s="18">
        <v>0.42857142857142899</v>
      </c>
    </row>
    <row r="56" spans="1:17" x14ac:dyDescent="0.25">
      <c r="A56" s="17">
        <v>46109</v>
      </c>
      <c r="B56" t="s">
        <v>65</v>
      </c>
      <c r="C56" t="s">
        <v>65</v>
      </c>
      <c r="D56" t="s">
        <v>33</v>
      </c>
      <c r="E56" t="s">
        <v>39</v>
      </c>
      <c r="F56" t="s">
        <v>19</v>
      </c>
      <c r="G56" t="s">
        <v>49</v>
      </c>
      <c r="H56" t="s">
        <v>69</v>
      </c>
      <c r="I56" t="s">
        <v>61</v>
      </c>
      <c r="J56">
        <v>4</v>
      </c>
      <c r="K56" t="s">
        <v>79</v>
      </c>
      <c r="L56">
        <v>128</v>
      </c>
      <c r="M56">
        <v>72</v>
      </c>
      <c r="N56">
        <v>512</v>
      </c>
      <c r="O56">
        <v>288</v>
      </c>
      <c r="P56">
        <v>224</v>
      </c>
      <c r="Q56" s="18">
        <v>0.4375</v>
      </c>
    </row>
    <row r="57" spans="1:17" x14ac:dyDescent="0.25">
      <c r="A57" s="17">
        <v>46114</v>
      </c>
      <c r="B57" t="s">
        <v>76</v>
      </c>
      <c r="C57" t="s">
        <v>76</v>
      </c>
      <c r="D57" t="s">
        <v>23</v>
      </c>
      <c r="E57" t="s">
        <v>13</v>
      </c>
      <c r="F57" t="s">
        <v>9</v>
      </c>
      <c r="G57" t="s">
        <v>34</v>
      </c>
      <c r="H57" t="s">
        <v>10</v>
      </c>
      <c r="I57" t="s">
        <v>54</v>
      </c>
      <c r="J57">
        <v>5</v>
      </c>
      <c r="K57" t="s">
        <v>80</v>
      </c>
      <c r="L57">
        <v>89</v>
      </c>
      <c r="M57">
        <v>47</v>
      </c>
      <c r="N57">
        <v>445</v>
      </c>
      <c r="O57">
        <v>235</v>
      </c>
      <c r="P57">
        <v>210</v>
      </c>
      <c r="Q57" s="18">
        <v>0.47191011235955099</v>
      </c>
    </row>
    <row r="58" spans="1:17" x14ac:dyDescent="0.25">
      <c r="A58" s="17">
        <v>46175</v>
      </c>
      <c r="B58" t="s">
        <v>12</v>
      </c>
      <c r="C58" t="s">
        <v>65</v>
      </c>
      <c r="D58" t="s">
        <v>68</v>
      </c>
      <c r="E58" t="s">
        <v>48</v>
      </c>
      <c r="F58" t="s">
        <v>9</v>
      </c>
      <c r="G58" t="s">
        <v>66</v>
      </c>
      <c r="H58" t="s">
        <v>45</v>
      </c>
      <c r="I58" t="s">
        <v>46</v>
      </c>
      <c r="J58">
        <v>2</v>
      </c>
      <c r="K58" t="s">
        <v>81</v>
      </c>
      <c r="L58">
        <v>128</v>
      </c>
      <c r="M58">
        <v>72</v>
      </c>
      <c r="N58">
        <v>256</v>
      </c>
      <c r="O58">
        <v>144</v>
      </c>
      <c r="P58">
        <v>112</v>
      </c>
      <c r="Q58" s="18">
        <v>0.4375</v>
      </c>
    </row>
    <row r="59" spans="1:17" x14ac:dyDescent="0.25">
      <c r="A59" s="17">
        <v>46045</v>
      </c>
      <c r="B59" t="s">
        <v>47</v>
      </c>
      <c r="C59" t="s">
        <v>17</v>
      </c>
      <c r="D59" t="s">
        <v>33</v>
      </c>
      <c r="E59" t="s">
        <v>39</v>
      </c>
      <c r="F59" t="s">
        <v>19</v>
      </c>
      <c r="G59" t="s">
        <v>20</v>
      </c>
      <c r="H59" t="s">
        <v>69</v>
      </c>
      <c r="I59" t="s">
        <v>11</v>
      </c>
      <c r="J59">
        <v>1</v>
      </c>
      <c r="K59" t="s">
        <v>79</v>
      </c>
      <c r="L59">
        <v>119</v>
      </c>
      <c r="M59">
        <v>67</v>
      </c>
      <c r="N59">
        <v>119</v>
      </c>
      <c r="O59">
        <v>67</v>
      </c>
      <c r="P59">
        <v>52</v>
      </c>
      <c r="Q59" s="18">
        <v>0.436974789915966</v>
      </c>
    </row>
    <row r="60" spans="1:17" x14ac:dyDescent="0.25">
      <c r="A60" s="17">
        <v>46230</v>
      </c>
      <c r="B60" t="s">
        <v>75</v>
      </c>
      <c r="C60" t="s">
        <v>62</v>
      </c>
      <c r="D60" t="s">
        <v>13</v>
      </c>
      <c r="E60" t="s">
        <v>13</v>
      </c>
      <c r="F60" t="s">
        <v>29</v>
      </c>
      <c r="G60" t="s">
        <v>69</v>
      </c>
      <c r="H60" t="s">
        <v>69</v>
      </c>
      <c r="I60" t="s">
        <v>16</v>
      </c>
      <c r="J60">
        <v>15</v>
      </c>
      <c r="K60" t="s">
        <v>79</v>
      </c>
      <c r="L60">
        <v>112</v>
      </c>
      <c r="M60">
        <v>64</v>
      </c>
      <c r="N60">
        <v>1680</v>
      </c>
      <c r="O60">
        <v>960</v>
      </c>
      <c r="P60">
        <v>720</v>
      </c>
      <c r="Q60" s="18">
        <v>0.42857142857142899</v>
      </c>
    </row>
    <row r="61" spans="1:17" x14ac:dyDescent="0.25">
      <c r="A61" s="17">
        <v>46196</v>
      </c>
      <c r="B61" t="s">
        <v>55</v>
      </c>
      <c r="C61" t="s">
        <v>71</v>
      </c>
      <c r="D61" t="s">
        <v>33</v>
      </c>
      <c r="E61" t="s">
        <v>39</v>
      </c>
      <c r="F61" t="s">
        <v>29</v>
      </c>
      <c r="G61" t="s">
        <v>66</v>
      </c>
      <c r="H61" t="s">
        <v>45</v>
      </c>
      <c r="I61" t="s">
        <v>26</v>
      </c>
      <c r="J61">
        <v>11</v>
      </c>
      <c r="K61" t="s">
        <v>82</v>
      </c>
      <c r="L61">
        <v>76</v>
      </c>
      <c r="M61">
        <v>39</v>
      </c>
      <c r="N61">
        <v>836</v>
      </c>
      <c r="O61">
        <v>429</v>
      </c>
      <c r="P61">
        <v>407</v>
      </c>
      <c r="Q61" s="18">
        <v>0.48684210526315802</v>
      </c>
    </row>
    <row r="62" spans="1:17" x14ac:dyDescent="0.25">
      <c r="A62" s="17">
        <v>46121</v>
      </c>
      <c r="B62" t="s">
        <v>32</v>
      </c>
      <c r="C62" t="s">
        <v>32</v>
      </c>
      <c r="D62" t="s">
        <v>72</v>
      </c>
      <c r="E62" t="s">
        <v>28</v>
      </c>
      <c r="F62" t="s">
        <v>19</v>
      </c>
      <c r="G62" t="s">
        <v>10</v>
      </c>
      <c r="H62" t="s">
        <v>10</v>
      </c>
      <c r="I62" t="s">
        <v>21</v>
      </c>
      <c r="J62">
        <v>10</v>
      </c>
      <c r="K62" t="s">
        <v>80</v>
      </c>
      <c r="L62">
        <v>105</v>
      </c>
      <c r="M62">
        <v>58</v>
      </c>
      <c r="N62">
        <v>1050</v>
      </c>
      <c r="O62">
        <v>580</v>
      </c>
      <c r="P62">
        <v>470</v>
      </c>
      <c r="Q62" s="18">
        <v>0.44761904761904803</v>
      </c>
    </row>
    <row r="63" spans="1:17" x14ac:dyDescent="0.25">
      <c r="A63" s="17">
        <v>46194</v>
      </c>
      <c r="B63" t="s">
        <v>44</v>
      </c>
      <c r="C63" t="s">
        <v>65</v>
      </c>
      <c r="D63" t="s">
        <v>8</v>
      </c>
      <c r="E63" t="s">
        <v>39</v>
      </c>
      <c r="F63" t="s">
        <v>14</v>
      </c>
      <c r="G63" t="s">
        <v>66</v>
      </c>
      <c r="H63" t="s">
        <v>45</v>
      </c>
      <c r="I63" t="s">
        <v>54</v>
      </c>
      <c r="J63">
        <v>9</v>
      </c>
      <c r="K63" t="s">
        <v>80</v>
      </c>
      <c r="L63">
        <v>128</v>
      </c>
      <c r="M63">
        <v>72</v>
      </c>
      <c r="N63">
        <v>1152</v>
      </c>
      <c r="O63">
        <v>648</v>
      </c>
      <c r="P63">
        <v>504</v>
      </c>
      <c r="Q63" s="18">
        <v>0.4375</v>
      </c>
    </row>
    <row r="64" spans="1:17" x14ac:dyDescent="0.25">
      <c r="A64" s="17">
        <v>46081</v>
      </c>
      <c r="B64" t="s">
        <v>51</v>
      </c>
      <c r="C64" t="s">
        <v>51</v>
      </c>
      <c r="D64" t="s">
        <v>33</v>
      </c>
      <c r="E64" t="s">
        <v>39</v>
      </c>
      <c r="F64" t="s">
        <v>24</v>
      </c>
      <c r="G64" t="s">
        <v>49</v>
      </c>
      <c r="H64" t="s">
        <v>69</v>
      </c>
      <c r="I64" t="s">
        <v>16</v>
      </c>
      <c r="J64">
        <v>1</v>
      </c>
      <c r="K64" t="s">
        <v>79</v>
      </c>
      <c r="L64">
        <v>54</v>
      </c>
      <c r="M64">
        <v>28</v>
      </c>
      <c r="N64">
        <v>54</v>
      </c>
      <c r="O64">
        <v>28</v>
      </c>
      <c r="P64">
        <v>26</v>
      </c>
      <c r="Q64" s="18">
        <v>0.48148148148148101</v>
      </c>
    </row>
    <row r="65" spans="1:17" x14ac:dyDescent="0.25">
      <c r="A65" s="17">
        <v>46197</v>
      </c>
      <c r="B65" t="s">
        <v>59</v>
      </c>
      <c r="C65" t="s">
        <v>32</v>
      </c>
      <c r="D65" t="s">
        <v>39</v>
      </c>
      <c r="E65" t="s">
        <v>39</v>
      </c>
      <c r="F65" t="s">
        <v>29</v>
      </c>
      <c r="G65" t="s">
        <v>53</v>
      </c>
      <c r="H65" t="s">
        <v>25</v>
      </c>
      <c r="I65" t="s">
        <v>46</v>
      </c>
      <c r="J65">
        <v>8</v>
      </c>
      <c r="K65" t="s">
        <v>79</v>
      </c>
      <c r="L65">
        <v>105</v>
      </c>
      <c r="M65">
        <v>58</v>
      </c>
      <c r="N65">
        <v>840</v>
      </c>
      <c r="O65">
        <v>464</v>
      </c>
      <c r="P65">
        <v>376</v>
      </c>
      <c r="Q65" s="18">
        <v>0.44761904761904803</v>
      </c>
    </row>
    <row r="66" spans="1:17" x14ac:dyDescent="0.25">
      <c r="A66" s="17">
        <v>46112</v>
      </c>
      <c r="B66" t="s">
        <v>74</v>
      </c>
      <c r="C66" t="s">
        <v>32</v>
      </c>
      <c r="D66" t="s">
        <v>23</v>
      </c>
      <c r="E66" t="s">
        <v>13</v>
      </c>
      <c r="F66" t="s">
        <v>29</v>
      </c>
      <c r="G66" t="s">
        <v>66</v>
      </c>
      <c r="H66" t="s">
        <v>45</v>
      </c>
      <c r="I66" t="s">
        <v>41</v>
      </c>
      <c r="J66">
        <v>5</v>
      </c>
      <c r="K66" t="s">
        <v>79</v>
      </c>
      <c r="L66">
        <v>105</v>
      </c>
      <c r="M66">
        <v>58</v>
      </c>
      <c r="N66">
        <v>525</v>
      </c>
      <c r="O66">
        <v>290</v>
      </c>
      <c r="P66">
        <v>235</v>
      </c>
      <c r="Q66" s="18">
        <v>0.44761904761904803</v>
      </c>
    </row>
    <row r="67" spans="1:17" x14ac:dyDescent="0.25">
      <c r="A67" s="17">
        <v>46124</v>
      </c>
      <c r="B67" t="s">
        <v>7</v>
      </c>
      <c r="C67" t="s">
        <v>42</v>
      </c>
      <c r="D67" t="s">
        <v>13</v>
      </c>
      <c r="E67" t="s">
        <v>13</v>
      </c>
      <c r="F67" t="s">
        <v>9</v>
      </c>
      <c r="G67" t="s">
        <v>73</v>
      </c>
      <c r="H67" t="s">
        <v>57</v>
      </c>
      <c r="I67" t="s">
        <v>11</v>
      </c>
      <c r="J67">
        <v>14</v>
      </c>
      <c r="K67" t="s">
        <v>80</v>
      </c>
      <c r="L67">
        <v>32</v>
      </c>
      <c r="M67">
        <v>14</v>
      </c>
      <c r="N67">
        <v>448</v>
      </c>
      <c r="O67">
        <v>196</v>
      </c>
      <c r="P67">
        <v>252</v>
      </c>
      <c r="Q67" s="18">
        <v>0.5625</v>
      </c>
    </row>
    <row r="68" spans="1:17" x14ac:dyDescent="0.25">
      <c r="A68" s="17">
        <v>46161</v>
      </c>
      <c r="B68" t="s">
        <v>38</v>
      </c>
      <c r="C68" t="s">
        <v>76</v>
      </c>
      <c r="D68" t="s">
        <v>68</v>
      </c>
      <c r="E68" t="s">
        <v>48</v>
      </c>
      <c r="F68" t="s">
        <v>14</v>
      </c>
      <c r="G68" t="s">
        <v>60</v>
      </c>
      <c r="H68" t="s">
        <v>10</v>
      </c>
      <c r="I68" t="s">
        <v>26</v>
      </c>
      <c r="J68">
        <v>14</v>
      </c>
      <c r="K68" t="s">
        <v>82</v>
      </c>
      <c r="L68">
        <v>89</v>
      </c>
      <c r="M68">
        <v>47</v>
      </c>
      <c r="N68">
        <v>1246</v>
      </c>
      <c r="O68">
        <v>658</v>
      </c>
      <c r="P68">
        <v>588</v>
      </c>
      <c r="Q68" s="18">
        <v>0.47191011235955099</v>
      </c>
    </row>
    <row r="69" spans="1:17" x14ac:dyDescent="0.25">
      <c r="A69" s="17">
        <v>46028</v>
      </c>
      <c r="B69" t="s">
        <v>75</v>
      </c>
      <c r="C69" t="s">
        <v>62</v>
      </c>
      <c r="D69" t="s">
        <v>8</v>
      </c>
      <c r="E69" t="s">
        <v>39</v>
      </c>
      <c r="F69" t="s">
        <v>9</v>
      </c>
      <c r="G69" t="s">
        <v>60</v>
      </c>
      <c r="H69" t="s">
        <v>10</v>
      </c>
      <c r="I69" t="s">
        <v>61</v>
      </c>
      <c r="J69">
        <v>8</v>
      </c>
      <c r="K69" t="s">
        <v>82</v>
      </c>
      <c r="L69">
        <v>112</v>
      </c>
      <c r="M69">
        <v>64</v>
      </c>
      <c r="N69">
        <v>896</v>
      </c>
      <c r="O69">
        <v>512</v>
      </c>
      <c r="P69">
        <v>384</v>
      </c>
      <c r="Q69" s="18">
        <v>0.42857142857142899</v>
      </c>
    </row>
    <row r="70" spans="1:17" x14ac:dyDescent="0.25">
      <c r="A70" s="17">
        <v>46179</v>
      </c>
      <c r="B70" t="s">
        <v>51</v>
      </c>
      <c r="C70" t="s">
        <v>51</v>
      </c>
      <c r="D70" t="s">
        <v>8</v>
      </c>
      <c r="E70" t="s">
        <v>39</v>
      </c>
      <c r="F70" t="s">
        <v>9</v>
      </c>
      <c r="G70" t="s">
        <v>34</v>
      </c>
      <c r="H70" t="s">
        <v>10</v>
      </c>
      <c r="I70" t="s">
        <v>58</v>
      </c>
      <c r="J70">
        <v>7</v>
      </c>
      <c r="K70" t="s">
        <v>79</v>
      </c>
      <c r="L70">
        <v>54</v>
      </c>
      <c r="M70">
        <v>28</v>
      </c>
      <c r="N70">
        <v>378</v>
      </c>
      <c r="O70">
        <v>196</v>
      </c>
      <c r="P70">
        <v>182</v>
      </c>
      <c r="Q70" s="18">
        <v>0.48148148148148101</v>
      </c>
    </row>
    <row r="71" spans="1:17" x14ac:dyDescent="0.25">
      <c r="A71" s="17">
        <v>46182</v>
      </c>
      <c r="B71" t="s">
        <v>36</v>
      </c>
      <c r="C71" t="s">
        <v>62</v>
      </c>
      <c r="D71" t="s">
        <v>18</v>
      </c>
      <c r="E71" t="s">
        <v>48</v>
      </c>
      <c r="F71" t="s">
        <v>29</v>
      </c>
      <c r="G71" t="s">
        <v>60</v>
      </c>
      <c r="H71" t="s">
        <v>10</v>
      </c>
      <c r="I71" t="s">
        <v>58</v>
      </c>
      <c r="J71">
        <v>7</v>
      </c>
      <c r="K71" t="s">
        <v>82</v>
      </c>
      <c r="L71">
        <v>112</v>
      </c>
      <c r="M71">
        <v>64</v>
      </c>
      <c r="N71">
        <v>784</v>
      </c>
      <c r="O71">
        <v>448</v>
      </c>
      <c r="P71">
        <v>336</v>
      </c>
      <c r="Q71" s="18">
        <v>0.42857142857142899</v>
      </c>
    </row>
    <row r="72" spans="1:17" x14ac:dyDescent="0.25">
      <c r="A72" s="17">
        <v>46085</v>
      </c>
      <c r="B72" t="s">
        <v>63</v>
      </c>
      <c r="C72" t="s">
        <v>76</v>
      </c>
      <c r="D72" t="s">
        <v>39</v>
      </c>
      <c r="E72" t="s">
        <v>39</v>
      </c>
      <c r="F72" t="s">
        <v>29</v>
      </c>
      <c r="G72" t="s">
        <v>30</v>
      </c>
      <c r="H72" t="s">
        <v>57</v>
      </c>
      <c r="I72" t="s">
        <v>21</v>
      </c>
      <c r="J72">
        <v>8</v>
      </c>
      <c r="K72" t="s">
        <v>81</v>
      </c>
      <c r="L72">
        <v>89</v>
      </c>
      <c r="M72">
        <v>47</v>
      </c>
      <c r="N72">
        <v>712</v>
      </c>
      <c r="O72">
        <v>376</v>
      </c>
      <c r="P72">
        <v>336</v>
      </c>
      <c r="Q72" s="18">
        <v>0.47191011235955099</v>
      </c>
    </row>
    <row r="73" spans="1:17" x14ac:dyDescent="0.25">
      <c r="A73" s="17">
        <v>46213</v>
      </c>
      <c r="B73" t="s">
        <v>7</v>
      </c>
      <c r="C73" t="s">
        <v>42</v>
      </c>
      <c r="D73" t="s">
        <v>13</v>
      </c>
      <c r="E73" t="s">
        <v>13</v>
      </c>
      <c r="F73" t="s">
        <v>29</v>
      </c>
      <c r="G73" t="s">
        <v>10</v>
      </c>
      <c r="H73" t="s">
        <v>10</v>
      </c>
      <c r="I73" t="s">
        <v>26</v>
      </c>
      <c r="J73">
        <v>9</v>
      </c>
      <c r="K73" t="s">
        <v>82</v>
      </c>
      <c r="L73">
        <v>32</v>
      </c>
      <c r="M73">
        <v>14</v>
      </c>
      <c r="N73">
        <v>288</v>
      </c>
      <c r="O73">
        <v>126</v>
      </c>
      <c r="P73">
        <v>162</v>
      </c>
      <c r="Q73" s="18">
        <v>0.5625</v>
      </c>
    </row>
    <row r="74" spans="1:17" x14ac:dyDescent="0.25">
      <c r="A74" s="17">
        <v>46089</v>
      </c>
      <c r="B74" t="s">
        <v>55</v>
      </c>
      <c r="C74" t="s">
        <v>71</v>
      </c>
      <c r="D74" t="s">
        <v>8</v>
      </c>
      <c r="E74" t="s">
        <v>39</v>
      </c>
      <c r="F74" t="s">
        <v>14</v>
      </c>
      <c r="G74" t="s">
        <v>25</v>
      </c>
      <c r="H74" t="s">
        <v>25</v>
      </c>
      <c r="I74" t="s">
        <v>26</v>
      </c>
      <c r="J74">
        <v>5</v>
      </c>
      <c r="K74" t="s">
        <v>80</v>
      </c>
      <c r="L74">
        <v>76</v>
      </c>
      <c r="M74">
        <v>39</v>
      </c>
      <c r="N74">
        <v>380</v>
      </c>
      <c r="O74">
        <v>195</v>
      </c>
      <c r="P74">
        <v>185</v>
      </c>
      <c r="Q74" s="18">
        <v>0.48684210526315802</v>
      </c>
    </row>
    <row r="75" spans="1:17" x14ac:dyDescent="0.25">
      <c r="A75" s="17">
        <v>46174</v>
      </c>
      <c r="B75" t="s">
        <v>55</v>
      </c>
      <c r="C75" t="s">
        <v>71</v>
      </c>
      <c r="D75" t="s">
        <v>33</v>
      </c>
      <c r="E75" t="s">
        <v>39</v>
      </c>
      <c r="F75" t="s">
        <v>24</v>
      </c>
      <c r="G75" t="s">
        <v>66</v>
      </c>
      <c r="H75" t="s">
        <v>45</v>
      </c>
      <c r="I75" t="s">
        <v>58</v>
      </c>
      <c r="J75">
        <v>9</v>
      </c>
      <c r="K75" t="s">
        <v>81</v>
      </c>
      <c r="L75">
        <v>76</v>
      </c>
      <c r="M75">
        <v>39</v>
      </c>
      <c r="N75">
        <v>684</v>
      </c>
      <c r="O75">
        <v>351</v>
      </c>
      <c r="P75">
        <v>333</v>
      </c>
      <c r="Q75" s="18">
        <v>0.48684210526315802</v>
      </c>
    </row>
    <row r="76" spans="1:17" x14ac:dyDescent="0.25">
      <c r="A76" s="17">
        <v>46077</v>
      </c>
      <c r="B76" t="s">
        <v>32</v>
      </c>
      <c r="C76" t="s">
        <v>32</v>
      </c>
      <c r="D76" t="s">
        <v>52</v>
      </c>
      <c r="E76" t="s">
        <v>13</v>
      </c>
      <c r="F76" t="s">
        <v>14</v>
      </c>
      <c r="G76" t="s">
        <v>34</v>
      </c>
      <c r="H76" t="s">
        <v>10</v>
      </c>
      <c r="I76" t="s">
        <v>41</v>
      </c>
      <c r="J76">
        <v>7</v>
      </c>
      <c r="K76" t="s">
        <v>80</v>
      </c>
      <c r="L76">
        <v>105</v>
      </c>
      <c r="M76">
        <v>58</v>
      </c>
      <c r="N76">
        <v>735</v>
      </c>
      <c r="O76">
        <v>406</v>
      </c>
      <c r="P76">
        <v>329</v>
      </c>
      <c r="Q76" s="18">
        <v>0.44761904761904803</v>
      </c>
    </row>
    <row r="77" spans="1:17" x14ac:dyDescent="0.25">
      <c r="A77" s="17">
        <v>46148</v>
      </c>
      <c r="B77" t="s">
        <v>32</v>
      </c>
      <c r="C77" t="s">
        <v>32</v>
      </c>
      <c r="D77" t="s">
        <v>33</v>
      </c>
      <c r="E77" t="s">
        <v>39</v>
      </c>
      <c r="F77" t="s">
        <v>29</v>
      </c>
      <c r="G77" t="s">
        <v>60</v>
      </c>
      <c r="H77" t="s">
        <v>10</v>
      </c>
      <c r="I77" t="s">
        <v>16</v>
      </c>
      <c r="J77">
        <v>13</v>
      </c>
      <c r="K77" t="s">
        <v>81</v>
      </c>
      <c r="L77">
        <v>105</v>
      </c>
      <c r="M77">
        <v>58</v>
      </c>
      <c r="N77">
        <v>1365</v>
      </c>
      <c r="O77">
        <v>754</v>
      </c>
      <c r="P77">
        <v>611</v>
      </c>
      <c r="Q77" s="18">
        <v>0.44761904761904803</v>
      </c>
    </row>
    <row r="78" spans="1:17" x14ac:dyDescent="0.25">
      <c r="A78" s="17">
        <v>46058</v>
      </c>
      <c r="B78" t="s">
        <v>70</v>
      </c>
      <c r="C78" t="s">
        <v>51</v>
      </c>
      <c r="D78" t="s">
        <v>33</v>
      </c>
      <c r="E78" t="s">
        <v>39</v>
      </c>
      <c r="F78" t="s">
        <v>24</v>
      </c>
      <c r="G78" t="s">
        <v>53</v>
      </c>
      <c r="H78" t="s">
        <v>25</v>
      </c>
      <c r="I78" t="s">
        <v>21</v>
      </c>
      <c r="J78">
        <v>8</v>
      </c>
      <c r="K78" t="s">
        <v>80</v>
      </c>
      <c r="L78">
        <v>54</v>
      </c>
      <c r="M78">
        <v>28</v>
      </c>
      <c r="N78">
        <v>432</v>
      </c>
      <c r="O78">
        <v>224</v>
      </c>
      <c r="P78">
        <v>208</v>
      </c>
      <c r="Q78" s="18">
        <v>0.48148148148148101</v>
      </c>
    </row>
    <row r="79" spans="1:17" x14ac:dyDescent="0.25">
      <c r="A79" s="17">
        <v>46084</v>
      </c>
      <c r="B79" t="s">
        <v>64</v>
      </c>
      <c r="C79" t="s">
        <v>42</v>
      </c>
      <c r="D79" t="s">
        <v>52</v>
      </c>
      <c r="E79" t="s">
        <v>13</v>
      </c>
      <c r="F79" t="s">
        <v>14</v>
      </c>
      <c r="G79" t="s">
        <v>30</v>
      </c>
      <c r="H79" t="s">
        <v>57</v>
      </c>
      <c r="I79" t="s">
        <v>58</v>
      </c>
      <c r="J79">
        <v>11</v>
      </c>
      <c r="K79" t="s">
        <v>82</v>
      </c>
      <c r="L79">
        <v>32</v>
      </c>
      <c r="M79">
        <v>14</v>
      </c>
      <c r="N79">
        <v>352</v>
      </c>
      <c r="O79">
        <v>154</v>
      </c>
      <c r="P79">
        <v>198</v>
      </c>
      <c r="Q79" s="18">
        <v>0.5625</v>
      </c>
    </row>
    <row r="80" spans="1:17" x14ac:dyDescent="0.25">
      <c r="A80" s="17">
        <v>46133</v>
      </c>
      <c r="B80" t="s">
        <v>75</v>
      </c>
      <c r="C80" t="s">
        <v>62</v>
      </c>
      <c r="D80" t="s">
        <v>39</v>
      </c>
      <c r="E80" t="s">
        <v>39</v>
      </c>
      <c r="F80" t="s">
        <v>29</v>
      </c>
      <c r="G80" t="s">
        <v>34</v>
      </c>
      <c r="H80" t="s">
        <v>10</v>
      </c>
      <c r="I80" t="s">
        <v>50</v>
      </c>
      <c r="J80">
        <v>11</v>
      </c>
      <c r="K80" t="s">
        <v>80</v>
      </c>
      <c r="L80">
        <v>112</v>
      </c>
      <c r="M80">
        <v>64</v>
      </c>
      <c r="N80">
        <v>1232</v>
      </c>
      <c r="O80">
        <v>704</v>
      </c>
      <c r="P80">
        <v>528</v>
      </c>
      <c r="Q80" s="18">
        <v>0.42857142857142899</v>
      </c>
    </row>
    <row r="81" spans="1:17" x14ac:dyDescent="0.25">
      <c r="A81" s="17">
        <v>46219</v>
      </c>
      <c r="B81" t="s">
        <v>17</v>
      </c>
      <c r="C81" t="s">
        <v>17</v>
      </c>
      <c r="D81" t="s">
        <v>33</v>
      </c>
      <c r="E81" t="s">
        <v>39</v>
      </c>
      <c r="F81" t="s">
        <v>9</v>
      </c>
      <c r="G81" t="s">
        <v>73</v>
      </c>
      <c r="H81" t="s">
        <v>57</v>
      </c>
      <c r="I81" t="s">
        <v>35</v>
      </c>
      <c r="J81">
        <v>15</v>
      </c>
      <c r="K81" t="s">
        <v>80</v>
      </c>
      <c r="L81">
        <v>119</v>
      </c>
      <c r="M81">
        <v>67</v>
      </c>
      <c r="N81">
        <v>1785</v>
      </c>
      <c r="O81">
        <v>1005</v>
      </c>
      <c r="P81">
        <v>780</v>
      </c>
      <c r="Q81" s="18">
        <v>0.436974789915966</v>
      </c>
    </row>
    <row r="82" spans="1:17" x14ac:dyDescent="0.25">
      <c r="A82" s="17">
        <v>46090</v>
      </c>
      <c r="B82" t="s">
        <v>65</v>
      </c>
      <c r="C82" t="s">
        <v>65</v>
      </c>
      <c r="D82" t="s">
        <v>52</v>
      </c>
      <c r="E82" t="s">
        <v>13</v>
      </c>
      <c r="F82" t="s">
        <v>14</v>
      </c>
      <c r="G82" t="s">
        <v>25</v>
      </c>
      <c r="H82" t="s">
        <v>25</v>
      </c>
      <c r="I82" t="s">
        <v>61</v>
      </c>
      <c r="J82">
        <v>10</v>
      </c>
      <c r="K82" t="s">
        <v>79</v>
      </c>
      <c r="L82">
        <v>128</v>
      </c>
      <c r="M82">
        <v>72</v>
      </c>
      <c r="N82">
        <v>1280</v>
      </c>
      <c r="O82">
        <v>720</v>
      </c>
      <c r="P82">
        <v>560</v>
      </c>
      <c r="Q82" s="18">
        <v>0.4375</v>
      </c>
    </row>
    <row r="83" spans="1:17" x14ac:dyDescent="0.25">
      <c r="A83" s="17">
        <v>46117</v>
      </c>
      <c r="B83" t="s">
        <v>55</v>
      </c>
      <c r="C83" t="s">
        <v>71</v>
      </c>
      <c r="D83" t="s">
        <v>28</v>
      </c>
      <c r="E83" t="s">
        <v>28</v>
      </c>
      <c r="F83" t="s">
        <v>14</v>
      </c>
      <c r="G83" t="s">
        <v>53</v>
      </c>
      <c r="H83" t="s">
        <v>25</v>
      </c>
      <c r="I83" t="s">
        <v>46</v>
      </c>
      <c r="J83">
        <v>4</v>
      </c>
      <c r="K83" t="s">
        <v>79</v>
      </c>
      <c r="L83">
        <v>76</v>
      </c>
      <c r="M83">
        <v>39</v>
      </c>
      <c r="N83">
        <v>304</v>
      </c>
      <c r="O83">
        <v>156</v>
      </c>
      <c r="P83">
        <v>148</v>
      </c>
      <c r="Q83" s="18">
        <v>0.48684210526315802</v>
      </c>
    </row>
    <row r="84" spans="1:17" x14ac:dyDescent="0.25">
      <c r="A84" s="17">
        <v>46097</v>
      </c>
      <c r="B84" t="s">
        <v>27</v>
      </c>
      <c r="C84" t="s">
        <v>71</v>
      </c>
      <c r="D84" t="s">
        <v>13</v>
      </c>
      <c r="E84" t="s">
        <v>13</v>
      </c>
      <c r="F84" t="s">
        <v>29</v>
      </c>
      <c r="G84" t="s">
        <v>66</v>
      </c>
      <c r="H84" t="s">
        <v>45</v>
      </c>
      <c r="I84" t="s">
        <v>37</v>
      </c>
      <c r="J84">
        <v>7</v>
      </c>
      <c r="K84" t="s">
        <v>82</v>
      </c>
      <c r="L84">
        <v>76</v>
      </c>
      <c r="M84">
        <v>39</v>
      </c>
      <c r="N84">
        <v>532</v>
      </c>
      <c r="O84">
        <v>273</v>
      </c>
      <c r="P84">
        <v>259</v>
      </c>
      <c r="Q84" s="18">
        <v>0.48684210526315802</v>
      </c>
    </row>
    <row r="85" spans="1:17" x14ac:dyDescent="0.25">
      <c r="A85" s="17">
        <v>46041</v>
      </c>
      <c r="B85" t="s">
        <v>42</v>
      </c>
      <c r="C85" t="s">
        <v>42</v>
      </c>
      <c r="D85" t="s">
        <v>56</v>
      </c>
      <c r="E85" t="s">
        <v>28</v>
      </c>
      <c r="F85" t="s">
        <v>24</v>
      </c>
      <c r="G85" t="s">
        <v>15</v>
      </c>
      <c r="H85" t="s">
        <v>45</v>
      </c>
      <c r="I85" t="s">
        <v>43</v>
      </c>
      <c r="J85">
        <v>7</v>
      </c>
      <c r="K85" t="s">
        <v>81</v>
      </c>
      <c r="L85">
        <v>32</v>
      </c>
      <c r="M85">
        <v>14</v>
      </c>
      <c r="N85">
        <v>224</v>
      </c>
      <c r="O85">
        <v>98</v>
      </c>
      <c r="P85">
        <v>126</v>
      </c>
      <c r="Q85" s="18">
        <v>0.5625</v>
      </c>
    </row>
    <row r="86" spans="1:17" x14ac:dyDescent="0.25">
      <c r="A86" s="17">
        <v>46187</v>
      </c>
      <c r="B86" t="s">
        <v>71</v>
      </c>
      <c r="C86" t="s">
        <v>71</v>
      </c>
      <c r="D86" t="s">
        <v>39</v>
      </c>
      <c r="E86" t="s">
        <v>39</v>
      </c>
      <c r="F86" t="s">
        <v>29</v>
      </c>
      <c r="G86" t="s">
        <v>53</v>
      </c>
      <c r="H86" t="s">
        <v>25</v>
      </c>
      <c r="I86" t="s">
        <v>11</v>
      </c>
      <c r="J86">
        <v>13</v>
      </c>
      <c r="K86" t="s">
        <v>82</v>
      </c>
      <c r="L86">
        <v>76</v>
      </c>
      <c r="M86">
        <v>39</v>
      </c>
      <c r="N86">
        <v>988</v>
      </c>
      <c r="O86">
        <v>507</v>
      </c>
      <c r="P86">
        <v>481</v>
      </c>
      <c r="Q86" s="18">
        <v>0.48684210526315802</v>
      </c>
    </row>
    <row r="87" spans="1:17" x14ac:dyDescent="0.25">
      <c r="A87" s="17">
        <v>46144</v>
      </c>
      <c r="B87" t="s">
        <v>51</v>
      </c>
      <c r="C87" t="s">
        <v>51</v>
      </c>
      <c r="D87" t="s">
        <v>56</v>
      </c>
      <c r="E87" t="s">
        <v>28</v>
      </c>
      <c r="F87" t="s">
        <v>29</v>
      </c>
      <c r="G87" t="s">
        <v>30</v>
      </c>
      <c r="H87" t="s">
        <v>57</v>
      </c>
      <c r="I87" t="s">
        <v>43</v>
      </c>
      <c r="J87">
        <v>12</v>
      </c>
      <c r="K87" t="s">
        <v>79</v>
      </c>
      <c r="L87">
        <v>54</v>
      </c>
      <c r="M87">
        <v>28</v>
      </c>
      <c r="N87">
        <v>648</v>
      </c>
      <c r="O87">
        <v>336</v>
      </c>
      <c r="P87">
        <v>312</v>
      </c>
      <c r="Q87" s="18">
        <v>0.48148148148148101</v>
      </c>
    </row>
    <row r="88" spans="1:17" x14ac:dyDescent="0.25">
      <c r="A88" s="17">
        <v>46057</v>
      </c>
      <c r="B88" t="s">
        <v>27</v>
      </c>
      <c r="C88" t="s">
        <v>71</v>
      </c>
      <c r="D88" t="s">
        <v>52</v>
      </c>
      <c r="E88" t="s">
        <v>13</v>
      </c>
      <c r="F88" t="s">
        <v>19</v>
      </c>
      <c r="G88" t="s">
        <v>73</v>
      </c>
      <c r="H88" t="s">
        <v>57</v>
      </c>
      <c r="I88" t="s">
        <v>16</v>
      </c>
      <c r="J88">
        <v>14</v>
      </c>
      <c r="K88" t="s">
        <v>81</v>
      </c>
      <c r="L88">
        <v>76</v>
      </c>
      <c r="M88">
        <v>39</v>
      </c>
      <c r="N88">
        <v>1064</v>
      </c>
      <c r="O88">
        <v>546</v>
      </c>
      <c r="P88">
        <v>518</v>
      </c>
      <c r="Q88" s="18">
        <v>0.48684210526315802</v>
      </c>
    </row>
    <row r="89" spans="1:17" x14ac:dyDescent="0.25">
      <c r="A89" s="17">
        <v>46067</v>
      </c>
      <c r="B89" t="s">
        <v>74</v>
      </c>
      <c r="C89" t="s">
        <v>32</v>
      </c>
      <c r="D89" t="s">
        <v>39</v>
      </c>
      <c r="E89" t="s">
        <v>39</v>
      </c>
      <c r="F89" t="s">
        <v>14</v>
      </c>
      <c r="G89" t="s">
        <v>60</v>
      </c>
      <c r="H89" t="s">
        <v>10</v>
      </c>
      <c r="I89" t="s">
        <v>43</v>
      </c>
      <c r="J89">
        <v>8</v>
      </c>
      <c r="K89" t="s">
        <v>81</v>
      </c>
      <c r="L89">
        <v>105</v>
      </c>
      <c r="M89">
        <v>58</v>
      </c>
      <c r="N89">
        <v>840</v>
      </c>
      <c r="O89">
        <v>464</v>
      </c>
      <c r="P89">
        <v>376</v>
      </c>
      <c r="Q89" s="18">
        <v>0.44761904761904803</v>
      </c>
    </row>
    <row r="90" spans="1:17" x14ac:dyDescent="0.25">
      <c r="A90" s="17">
        <v>46099</v>
      </c>
      <c r="B90" t="s">
        <v>55</v>
      </c>
      <c r="C90" t="s">
        <v>71</v>
      </c>
      <c r="D90" t="s">
        <v>33</v>
      </c>
      <c r="E90" t="s">
        <v>39</v>
      </c>
      <c r="F90" t="s">
        <v>29</v>
      </c>
      <c r="G90" t="s">
        <v>34</v>
      </c>
      <c r="H90" t="s">
        <v>10</v>
      </c>
      <c r="I90" t="s">
        <v>46</v>
      </c>
      <c r="J90">
        <v>3</v>
      </c>
      <c r="K90" t="s">
        <v>79</v>
      </c>
      <c r="L90">
        <v>76</v>
      </c>
      <c r="M90">
        <v>39</v>
      </c>
      <c r="N90">
        <v>228</v>
      </c>
      <c r="O90">
        <v>117</v>
      </c>
      <c r="P90">
        <v>111</v>
      </c>
      <c r="Q90" s="18">
        <v>0.48684210526315802</v>
      </c>
    </row>
    <row r="91" spans="1:17" x14ac:dyDescent="0.25">
      <c r="A91" s="17">
        <v>46090</v>
      </c>
      <c r="B91" t="s">
        <v>42</v>
      </c>
      <c r="C91" t="s">
        <v>42</v>
      </c>
      <c r="D91" t="s">
        <v>56</v>
      </c>
      <c r="E91" t="s">
        <v>28</v>
      </c>
      <c r="F91" t="s">
        <v>9</v>
      </c>
      <c r="G91" t="s">
        <v>45</v>
      </c>
      <c r="H91" t="s">
        <v>45</v>
      </c>
      <c r="I91" t="s">
        <v>21</v>
      </c>
      <c r="J91">
        <v>8</v>
      </c>
      <c r="K91" t="s">
        <v>80</v>
      </c>
      <c r="L91">
        <v>32</v>
      </c>
      <c r="M91">
        <v>14</v>
      </c>
      <c r="N91">
        <v>256</v>
      </c>
      <c r="O91">
        <v>112</v>
      </c>
      <c r="P91">
        <v>144</v>
      </c>
      <c r="Q91" s="18">
        <v>0.5625</v>
      </c>
    </row>
    <row r="92" spans="1:17" x14ac:dyDescent="0.25">
      <c r="A92" s="17">
        <v>46111</v>
      </c>
      <c r="B92" t="s">
        <v>17</v>
      </c>
      <c r="C92" t="s">
        <v>17</v>
      </c>
      <c r="D92" t="s">
        <v>28</v>
      </c>
      <c r="E92" t="s">
        <v>28</v>
      </c>
      <c r="F92" t="s">
        <v>29</v>
      </c>
      <c r="G92" t="s">
        <v>40</v>
      </c>
      <c r="H92" t="s">
        <v>25</v>
      </c>
      <c r="I92" t="s">
        <v>21</v>
      </c>
      <c r="J92">
        <v>14</v>
      </c>
      <c r="K92" t="s">
        <v>79</v>
      </c>
      <c r="L92">
        <v>119</v>
      </c>
      <c r="M92">
        <v>67</v>
      </c>
      <c r="N92">
        <v>1666</v>
      </c>
      <c r="O92">
        <v>938</v>
      </c>
      <c r="P92">
        <v>728</v>
      </c>
      <c r="Q92" s="18">
        <v>0.436974789915966</v>
      </c>
    </row>
    <row r="93" spans="1:17" x14ac:dyDescent="0.25">
      <c r="A93" s="17">
        <v>46204</v>
      </c>
      <c r="B93" t="s">
        <v>75</v>
      </c>
      <c r="C93" t="s">
        <v>62</v>
      </c>
      <c r="D93" t="s">
        <v>33</v>
      </c>
      <c r="E93" t="s">
        <v>39</v>
      </c>
      <c r="F93" t="s">
        <v>29</v>
      </c>
      <c r="G93" t="s">
        <v>66</v>
      </c>
      <c r="H93" t="s">
        <v>45</v>
      </c>
      <c r="I93" t="s">
        <v>11</v>
      </c>
      <c r="J93">
        <v>7</v>
      </c>
      <c r="K93" t="s">
        <v>82</v>
      </c>
      <c r="L93">
        <v>112</v>
      </c>
      <c r="M93">
        <v>64</v>
      </c>
      <c r="N93">
        <v>784</v>
      </c>
      <c r="O93">
        <v>448</v>
      </c>
      <c r="P93">
        <v>336</v>
      </c>
      <c r="Q93" s="18">
        <v>0.42857142857142899</v>
      </c>
    </row>
    <row r="94" spans="1:17" x14ac:dyDescent="0.25">
      <c r="A94" s="17">
        <v>46246</v>
      </c>
      <c r="B94" t="s">
        <v>70</v>
      </c>
      <c r="C94" t="s">
        <v>51</v>
      </c>
      <c r="D94" t="s">
        <v>72</v>
      </c>
      <c r="E94" t="s">
        <v>28</v>
      </c>
      <c r="F94" t="s">
        <v>14</v>
      </c>
      <c r="G94" t="s">
        <v>34</v>
      </c>
      <c r="H94" t="s">
        <v>10</v>
      </c>
      <c r="I94" t="s">
        <v>26</v>
      </c>
      <c r="J94">
        <v>5</v>
      </c>
      <c r="K94" t="s">
        <v>81</v>
      </c>
      <c r="L94">
        <v>54</v>
      </c>
      <c r="M94">
        <v>28</v>
      </c>
      <c r="N94">
        <v>270</v>
      </c>
      <c r="O94">
        <v>140</v>
      </c>
      <c r="P94">
        <v>130</v>
      </c>
      <c r="Q94" s="18">
        <v>0.48148148148148101</v>
      </c>
    </row>
    <row r="95" spans="1:17" x14ac:dyDescent="0.25">
      <c r="A95" s="17">
        <v>46033</v>
      </c>
      <c r="B95" t="s">
        <v>32</v>
      </c>
      <c r="C95" t="s">
        <v>32</v>
      </c>
      <c r="D95" t="s">
        <v>39</v>
      </c>
      <c r="E95" t="s">
        <v>39</v>
      </c>
      <c r="F95" t="s">
        <v>29</v>
      </c>
      <c r="G95" t="s">
        <v>66</v>
      </c>
      <c r="H95" t="s">
        <v>45</v>
      </c>
      <c r="I95" t="s">
        <v>11</v>
      </c>
      <c r="J95">
        <v>14</v>
      </c>
      <c r="K95" t="s">
        <v>81</v>
      </c>
      <c r="L95">
        <v>105</v>
      </c>
      <c r="M95">
        <v>58</v>
      </c>
      <c r="N95">
        <v>1470</v>
      </c>
      <c r="O95">
        <v>812</v>
      </c>
      <c r="P95">
        <v>658</v>
      </c>
      <c r="Q95" s="18">
        <v>0.44761904761904803</v>
      </c>
    </row>
    <row r="96" spans="1:17" x14ac:dyDescent="0.25">
      <c r="A96" s="17">
        <v>46203</v>
      </c>
      <c r="B96" t="s">
        <v>67</v>
      </c>
      <c r="C96" t="s">
        <v>17</v>
      </c>
      <c r="D96" t="s">
        <v>48</v>
      </c>
      <c r="E96" t="s">
        <v>48</v>
      </c>
      <c r="F96" t="s">
        <v>19</v>
      </c>
      <c r="G96" t="s">
        <v>10</v>
      </c>
      <c r="H96" t="s">
        <v>10</v>
      </c>
      <c r="I96" t="s">
        <v>31</v>
      </c>
      <c r="J96">
        <v>6</v>
      </c>
      <c r="K96" t="s">
        <v>81</v>
      </c>
      <c r="L96">
        <v>119</v>
      </c>
      <c r="M96">
        <v>67</v>
      </c>
      <c r="N96">
        <v>714</v>
      </c>
      <c r="O96">
        <v>402</v>
      </c>
      <c r="P96">
        <v>312</v>
      </c>
      <c r="Q96" s="18">
        <v>0.436974789915966</v>
      </c>
    </row>
    <row r="97" spans="1:17" x14ac:dyDescent="0.25">
      <c r="A97" s="17">
        <v>46044</v>
      </c>
      <c r="B97" t="s">
        <v>17</v>
      </c>
      <c r="C97" t="s">
        <v>17</v>
      </c>
      <c r="D97" t="s">
        <v>23</v>
      </c>
      <c r="E97" t="s">
        <v>13</v>
      </c>
      <c r="F97" t="s">
        <v>19</v>
      </c>
      <c r="G97" t="s">
        <v>49</v>
      </c>
      <c r="H97" t="s">
        <v>69</v>
      </c>
      <c r="I97" t="s">
        <v>11</v>
      </c>
      <c r="J97">
        <v>7</v>
      </c>
      <c r="K97" t="s">
        <v>80</v>
      </c>
      <c r="L97">
        <v>119</v>
      </c>
      <c r="M97">
        <v>67</v>
      </c>
      <c r="N97">
        <v>833</v>
      </c>
      <c r="O97">
        <v>469</v>
      </c>
      <c r="P97">
        <v>364</v>
      </c>
      <c r="Q97" s="18">
        <v>0.436974789915966</v>
      </c>
    </row>
    <row r="98" spans="1:17" x14ac:dyDescent="0.25">
      <c r="A98" s="17">
        <v>46223</v>
      </c>
      <c r="B98" t="s">
        <v>51</v>
      </c>
      <c r="C98" t="s">
        <v>51</v>
      </c>
      <c r="D98" t="s">
        <v>33</v>
      </c>
      <c r="E98" t="s">
        <v>39</v>
      </c>
      <c r="F98" t="s">
        <v>29</v>
      </c>
      <c r="G98" t="s">
        <v>10</v>
      </c>
      <c r="H98" t="s">
        <v>10</v>
      </c>
      <c r="I98" t="s">
        <v>54</v>
      </c>
      <c r="J98">
        <v>9</v>
      </c>
      <c r="K98" t="s">
        <v>79</v>
      </c>
      <c r="L98">
        <v>54</v>
      </c>
      <c r="M98">
        <v>28</v>
      </c>
      <c r="N98">
        <v>486</v>
      </c>
      <c r="O98">
        <v>252</v>
      </c>
      <c r="P98">
        <v>234</v>
      </c>
      <c r="Q98" s="18">
        <v>0.48148148148148101</v>
      </c>
    </row>
    <row r="99" spans="1:17" x14ac:dyDescent="0.25">
      <c r="A99" s="17">
        <v>46118</v>
      </c>
      <c r="B99" t="s">
        <v>63</v>
      </c>
      <c r="C99" t="s">
        <v>76</v>
      </c>
      <c r="D99" t="s">
        <v>8</v>
      </c>
      <c r="E99" t="s">
        <v>39</v>
      </c>
      <c r="F99" t="s">
        <v>24</v>
      </c>
      <c r="G99" t="s">
        <v>45</v>
      </c>
      <c r="H99" t="s">
        <v>45</v>
      </c>
      <c r="I99" t="s">
        <v>21</v>
      </c>
      <c r="J99">
        <v>10</v>
      </c>
      <c r="K99" t="s">
        <v>80</v>
      </c>
      <c r="L99">
        <v>89</v>
      </c>
      <c r="M99">
        <v>47</v>
      </c>
      <c r="N99">
        <v>890</v>
      </c>
      <c r="O99">
        <v>470</v>
      </c>
      <c r="P99">
        <v>420</v>
      </c>
      <c r="Q99" s="18">
        <v>0.47191011235955099</v>
      </c>
    </row>
    <row r="100" spans="1:17" x14ac:dyDescent="0.25">
      <c r="A100" s="17">
        <v>46034</v>
      </c>
      <c r="B100" t="s">
        <v>36</v>
      </c>
      <c r="C100" t="s">
        <v>62</v>
      </c>
      <c r="D100" t="s">
        <v>13</v>
      </c>
      <c r="E100" t="s">
        <v>13</v>
      </c>
      <c r="F100" t="s">
        <v>19</v>
      </c>
      <c r="G100" t="s">
        <v>49</v>
      </c>
      <c r="H100" t="s">
        <v>69</v>
      </c>
      <c r="I100" t="s">
        <v>61</v>
      </c>
      <c r="J100">
        <v>6</v>
      </c>
      <c r="K100" t="s">
        <v>80</v>
      </c>
      <c r="L100">
        <v>112</v>
      </c>
      <c r="M100">
        <v>64</v>
      </c>
      <c r="N100">
        <v>672</v>
      </c>
      <c r="O100">
        <v>384</v>
      </c>
      <c r="P100">
        <v>288</v>
      </c>
      <c r="Q100" s="18">
        <v>0.42857142857142899</v>
      </c>
    </row>
    <row r="101" spans="1:17" x14ac:dyDescent="0.25">
      <c r="A101" s="17">
        <v>46197</v>
      </c>
      <c r="B101" t="s">
        <v>32</v>
      </c>
      <c r="C101" t="s">
        <v>32</v>
      </c>
      <c r="D101" t="s">
        <v>18</v>
      </c>
      <c r="E101" t="s">
        <v>48</v>
      </c>
      <c r="F101" t="s">
        <v>14</v>
      </c>
      <c r="G101" t="s">
        <v>60</v>
      </c>
      <c r="H101" t="s">
        <v>10</v>
      </c>
      <c r="I101" t="s">
        <v>26</v>
      </c>
      <c r="J101">
        <v>12</v>
      </c>
      <c r="K101" t="s">
        <v>80</v>
      </c>
      <c r="L101">
        <v>105</v>
      </c>
      <c r="M101">
        <v>58</v>
      </c>
      <c r="N101">
        <v>1260</v>
      </c>
      <c r="O101">
        <v>696</v>
      </c>
      <c r="P101">
        <v>564</v>
      </c>
      <c r="Q101" s="18">
        <v>0.44761904761904803</v>
      </c>
    </row>
    <row r="102" spans="1:17" x14ac:dyDescent="0.25">
      <c r="A102" s="17">
        <v>46101</v>
      </c>
      <c r="B102" t="s">
        <v>55</v>
      </c>
      <c r="C102" t="s">
        <v>71</v>
      </c>
      <c r="D102" t="s">
        <v>52</v>
      </c>
      <c r="E102" t="s">
        <v>13</v>
      </c>
      <c r="F102" t="s">
        <v>14</v>
      </c>
      <c r="G102" t="s">
        <v>53</v>
      </c>
      <c r="H102" t="s">
        <v>25</v>
      </c>
      <c r="I102" t="s">
        <v>37</v>
      </c>
      <c r="J102">
        <v>4</v>
      </c>
      <c r="K102" t="s">
        <v>79</v>
      </c>
      <c r="L102">
        <v>76</v>
      </c>
      <c r="M102">
        <v>39</v>
      </c>
      <c r="N102">
        <v>304</v>
      </c>
      <c r="O102">
        <v>156</v>
      </c>
      <c r="P102">
        <v>148</v>
      </c>
      <c r="Q102" s="18">
        <v>0.48684210526315802</v>
      </c>
    </row>
    <row r="103" spans="1:17" x14ac:dyDescent="0.25">
      <c r="A103" s="17">
        <v>46216</v>
      </c>
      <c r="B103" t="s">
        <v>38</v>
      </c>
      <c r="C103" t="s">
        <v>76</v>
      </c>
      <c r="D103" t="s">
        <v>39</v>
      </c>
      <c r="E103" t="s">
        <v>39</v>
      </c>
      <c r="F103" t="s">
        <v>9</v>
      </c>
      <c r="G103" t="s">
        <v>25</v>
      </c>
      <c r="H103" t="s">
        <v>25</v>
      </c>
      <c r="I103" t="s">
        <v>21</v>
      </c>
      <c r="J103">
        <v>8</v>
      </c>
      <c r="K103" t="s">
        <v>82</v>
      </c>
      <c r="L103">
        <v>89</v>
      </c>
      <c r="M103">
        <v>47</v>
      </c>
      <c r="N103">
        <v>712</v>
      </c>
      <c r="O103">
        <v>376</v>
      </c>
      <c r="P103">
        <v>336</v>
      </c>
      <c r="Q103" s="18">
        <v>0.47191011235955099</v>
      </c>
    </row>
    <row r="104" spans="1:17" x14ac:dyDescent="0.25">
      <c r="A104" s="17">
        <v>46040</v>
      </c>
      <c r="B104" t="s">
        <v>64</v>
      </c>
      <c r="C104" t="s">
        <v>42</v>
      </c>
      <c r="D104" t="s">
        <v>8</v>
      </c>
      <c r="E104" t="s">
        <v>39</v>
      </c>
      <c r="F104" t="s">
        <v>24</v>
      </c>
      <c r="G104" t="s">
        <v>34</v>
      </c>
      <c r="H104" t="s">
        <v>10</v>
      </c>
      <c r="I104" t="s">
        <v>16</v>
      </c>
      <c r="J104">
        <v>8</v>
      </c>
      <c r="K104" t="s">
        <v>81</v>
      </c>
      <c r="L104">
        <v>32</v>
      </c>
      <c r="M104">
        <v>14</v>
      </c>
      <c r="N104">
        <v>256</v>
      </c>
      <c r="O104">
        <v>112</v>
      </c>
      <c r="P104">
        <v>144</v>
      </c>
      <c r="Q104" s="18">
        <v>0.5625</v>
      </c>
    </row>
    <row r="105" spans="1:17" x14ac:dyDescent="0.25">
      <c r="A105" s="17">
        <v>46187</v>
      </c>
      <c r="B105" t="s">
        <v>67</v>
      </c>
      <c r="C105" t="s">
        <v>17</v>
      </c>
      <c r="D105" t="s">
        <v>28</v>
      </c>
      <c r="E105" t="s">
        <v>28</v>
      </c>
      <c r="F105" t="s">
        <v>14</v>
      </c>
      <c r="G105" t="s">
        <v>53</v>
      </c>
      <c r="H105" t="s">
        <v>25</v>
      </c>
      <c r="I105" t="s">
        <v>26</v>
      </c>
      <c r="J105">
        <v>6</v>
      </c>
      <c r="K105" t="s">
        <v>80</v>
      </c>
      <c r="L105">
        <v>119</v>
      </c>
      <c r="M105">
        <v>67</v>
      </c>
      <c r="N105">
        <v>714</v>
      </c>
      <c r="O105">
        <v>402</v>
      </c>
      <c r="P105">
        <v>312</v>
      </c>
      <c r="Q105" s="18">
        <v>0.436974789915966</v>
      </c>
    </row>
    <row r="106" spans="1:17" x14ac:dyDescent="0.25">
      <c r="A106" s="17">
        <v>46185</v>
      </c>
      <c r="B106" t="s">
        <v>38</v>
      </c>
      <c r="C106" t="s">
        <v>76</v>
      </c>
      <c r="D106" t="s">
        <v>18</v>
      </c>
      <c r="E106" t="s">
        <v>48</v>
      </c>
      <c r="F106" t="s">
        <v>9</v>
      </c>
      <c r="G106" t="s">
        <v>30</v>
      </c>
      <c r="H106" t="s">
        <v>57</v>
      </c>
      <c r="I106" t="s">
        <v>16</v>
      </c>
      <c r="J106">
        <v>9</v>
      </c>
      <c r="K106" t="s">
        <v>80</v>
      </c>
      <c r="L106">
        <v>89</v>
      </c>
      <c r="M106">
        <v>47</v>
      </c>
      <c r="N106">
        <v>801</v>
      </c>
      <c r="O106">
        <v>423</v>
      </c>
      <c r="P106">
        <v>378</v>
      </c>
      <c r="Q106" s="18">
        <v>0.47191011235955099</v>
      </c>
    </row>
    <row r="107" spans="1:17" x14ac:dyDescent="0.25">
      <c r="A107" s="17">
        <v>46240</v>
      </c>
      <c r="B107" t="s">
        <v>71</v>
      </c>
      <c r="C107" t="s">
        <v>71</v>
      </c>
      <c r="D107" t="s">
        <v>13</v>
      </c>
      <c r="E107" t="s">
        <v>13</v>
      </c>
      <c r="F107" t="s">
        <v>14</v>
      </c>
      <c r="G107" t="s">
        <v>40</v>
      </c>
      <c r="H107" t="s">
        <v>25</v>
      </c>
      <c r="I107" t="s">
        <v>26</v>
      </c>
      <c r="J107">
        <v>2</v>
      </c>
      <c r="K107" t="s">
        <v>82</v>
      </c>
      <c r="L107">
        <v>76</v>
      </c>
      <c r="M107">
        <v>39</v>
      </c>
      <c r="N107">
        <v>152</v>
      </c>
      <c r="O107">
        <v>78</v>
      </c>
      <c r="P107">
        <v>74</v>
      </c>
      <c r="Q107" s="18">
        <v>0.48684210526315802</v>
      </c>
    </row>
    <row r="108" spans="1:17" x14ac:dyDescent="0.25">
      <c r="A108" s="17">
        <v>46040</v>
      </c>
      <c r="B108" t="s">
        <v>36</v>
      </c>
      <c r="C108" t="s">
        <v>62</v>
      </c>
      <c r="D108" t="s">
        <v>39</v>
      </c>
      <c r="E108" t="s">
        <v>39</v>
      </c>
      <c r="F108" t="s">
        <v>14</v>
      </c>
      <c r="G108" t="s">
        <v>53</v>
      </c>
      <c r="H108" t="s">
        <v>25</v>
      </c>
      <c r="I108" t="s">
        <v>50</v>
      </c>
      <c r="J108">
        <v>4</v>
      </c>
      <c r="K108" t="s">
        <v>81</v>
      </c>
      <c r="L108">
        <v>112</v>
      </c>
      <c r="M108">
        <v>64</v>
      </c>
      <c r="N108">
        <v>448</v>
      </c>
      <c r="O108">
        <v>256</v>
      </c>
      <c r="P108">
        <v>192</v>
      </c>
      <c r="Q108" s="18">
        <v>0.42857142857142899</v>
      </c>
    </row>
    <row r="109" spans="1:17" x14ac:dyDescent="0.25">
      <c r="A109" s="17">
        <v>46144</v>
      </c>
      <c r="B109" t="s">
        <v>63</v>
      </c>
      <c r="C109" t="s">
        <v>76</v>
      </c>
      <c r="D109" t="s">
        <v>39</v>
      </c>
      <c r="E109" t="s">
        <v>39</v>
      </c>
      <c r="F109" t="s">
        <v>19</v>
      </c>
      <c r="G109" t="s">
        <v>53</v>
      </c>
      <c r="H109" t="s">
        <v>25</v>
      </c>
      <c r="I109" t="s">
        <v>26</v>
      </c>
      <c r="J109">
        <v>15</v>
      </c>
      <c r="K109" t="s">
        <v>81</v>
      </c>
      <c r="L109">
        <v>89</v>
      </c>
      <c r="M109">
        <v>47</v>
      </c>
      <c r="N109">
        <v>1335</v>
      </c>
      <c r="O109">
        <v>705</v>
      </c>
      <c r="P109">
        <v>630</v>
      </c>
      <c r="Q109" s="18">
        <v>0.47191011235955099</v>
      </c>
    </row>
    <row r="110" spans="1:17" x14ac:dyDescent="0.25">
      <c r="A110" s="17">
        <v>46130</v>
      </c>
      <c r="B110" t="s">
        <v>71</v>
      </c>
      <c r="C110" t="s">
        <v>71</v>
      </c>
      <c r="D110" t="s">
        <v>28</v>
      </c>
      <c r="E110" t="s">
        <v>28</v>
      </c>
      <c r="F110" t="s">
        <v>19</v>
      </c>
      <c r="G110" t="s">
        <v>40</v>
      </c>
      <c r="H110" t="s">
        <v>25</v>
      </c>
      <c r="I110" t="s">
        <v>31</v>
      </c>
      <c r="J110">
        <v>15</v>
      </c>
      <c r="K110" t="s">
        <v>79</v>
      </c>
      <c r="L110">
        <v>76</v>
      </c>
      <c r="M110">
        <v>39</v>
      </c>
      <c r="N110">
        <v>1140</v>
      </c>
      <c r="O110">
        <v>585</v>
      </c>
      <c r="P110">
        <v>555</v>
      </c>
      <c r="Q110" s="18">
        <v>0.48684210526315802</v>
      </c>
    </row>
    <row r="111" spans="1:17" x14ac:dyDescent="0.25">
      <c r="A111" s="17">
        <v>46074</v>
      </c>
      <c r="B111" t="s">
        <v>7</v>
      </c>
      <c r="C111" t="s">
        <v>42</v>
      </c>
      <c r="D111" t="s">
        <v>33</v>
      </c>
      <c r="E111" t="s">
        <v>39</v>
      </c>
      <c r="F111" t="s">
        <v>29</v>
      </c>
      <c r="G111" t="s">
        <v>10</v>
      </c>
      <c r="H111" t="s">
        <v>10</v>
      </c>
      <c r="I111" t="s">
        <v>58</v>
      </c>
      <c r="J111">
        <v>8</v>
      </c>
      <c r="K111" t="s">
        <v>80</v>
      </c>
      <c r="L111">
        <v>32</v>
      </c>
      <c r="M111">
        <v>14</v>
      </c>
      <c r="N111">
        <v>256</v>
      </c>
      <c r="O111">
        <v>112</v>
      </c>
      <c r="P111">
        <v>144</v>
      </c>
      <c r="Q111" s="18">
        <v>0.5625</v>
      </c>
    </row>
    <row r="112" spans="1:17" x14ac:dyDescent="0.25">
      <c r="A112" s="17">
        <v>46193</v>
      </c>
      <c r="B112" t="s">
        <v>76</v>
      </c>
      <c r="C112" t="s">
        <v>76</v>
      </c>
      <c r="D112" t="s">
        <v>23</v>
      </c>
      <c r="E112" t="s">
        <v>13</v>
      </c>
      <c r="F112" t="s">
        <v>14</v>
      </c>
      <c r="G112" t="s">
        <v>20</v>
      </c>
      <c r="H112" t="s">
        <v>69</v>
      </c>
      <c r="I112" t="s">
        <v>26</v>
      </c>
      <c r="J112">
        <v>7</v>
      </c>
      <c r="K112" t="s">
        <v>80</v>
      </c>
      <c r="L112">
        <v>89</v>
      </c>
      <c r="M112">
        <v>47</v>
      </c>
      <c r="N112">
        <v>623</v>
      </c>
      <c r="O112">
        <v>329</v>
      </c>
      <c r="P112">
        <v>294</v>
      </c>
      <c r="Q112" s="18">
        <v>0.47191011235955099</v>
      </c>
    </row>
    <row r="113" spans="1:17" x14ac:dyDescent="0.25">
      <c r="A113" s="17">
        <v>46137</v>
      </c>
      <c r="B113" t="s">
        <v>17</v>
      </c>
      <c r="C113" t="s">
        <v>17</v>
      </c>
      <c r="D113" t="s">
        <v>13</v>
      </c>
      <c r="E113" t="s">
        <v>13</v>
      </c>
      <c r="F113" t="s">
        <v>19</v>
      </c>
      <c r="G113" t="s">
        <v>10</v>
      </c>
      <c r="H113" t="s">
        <v>10</v>
      </c>
      <c r="I113" t="s">
        <v>46</v>
      </c>
      <c r="J113">
        <v>8</v>
      </c>
      <c r="K113" t="s">
        <v>79</v>
      </c>
      <c r="L113">
        <v>119</v>
      </c>
      <c r="M113">
        <v>67</v>
      </c>
      <c r="N113">
        <v>952</v>
      </c>
      <c r="O113">
        <v>536</v>
      </c>
      <c r="P113">
        <v>416</v>
      </c>
      <c r="Q113" s="18">
        <v>0.436974789915966</v>
      </c>
    </row>
    <row r="114" spans="1:17" x14ac:dyDescent="0.25">
      <c r="A114" s="17">
        <v>46172</v>
      </c>
      <c r="B114" t="s">
        <v>76</v>
      </c>
      <c r="C114" t="s">
        <v>76</v>
      </c>
      <c r="D114" t="s">
        <v>8</v>
      </c>
      <c r="E114" t="s">
        <v>39</v>
      </c>
      <c r="F114" t="s">
        <v>19</v>
      </c>
      <c r="G114" t="s">
        <v>45</v>
      </c>
      <c r="H114" t="s">
        <v>45</v>
      </c>
      <c r="I114" t="s">
        <v>21</v>
      </c>
      <c r="J114">
        <v>13</v>
      </c>
      <c r="K114" t="s">
        <v>81</v>
      </c>
      <c r="L114">
        <v>89</v>
      </c>
      <c r="M114">
        <v>47</v>
      </c>
      <c r="N114">
        <v>1157</v>
      </c>
      <c r="O114">
        <v>611</v>
      </c>
      <c r="P114">
        <v>546</v>
      </c>
      <c r="Q114" s="18">
        <v>0.47191011235955099</v>
      </c>
    </row>
    <row r="115" spans="1:17" x14ac:dyDescent="0.25">
      <c r="A115" s="17">
        <v>46081</v>
      </c>
      <c r="B115" t="s">
        <v>59</v>
      </c>
      <c r="C115" t="s">
        <v>32</v>
      </c>
      <c r="D115" t="s">
        <v>8</v>
      </c>
      <c r="E115" t="s">
        <v>39</v>
      </c>
      <c r="F115" t="s">
        <v>29</v>
      </c>
      <c r="G115" t="s">
        <v>49</v>
      </c>
      <c r="H115" t="s">
        <v>69</v>
      </c>
      <c r="I115" t="s">
        <v>26</v>
      </c>
      <c r="J115">
        <v>14</v>
      </c>
      <c r="K115" t="s">
        <v>79</v>
      </c>
      <c r="L115">
        <v>105</v>
      </c>
      <c r="M115">
        <v>58</v>
      </c>
      <c r="N115">
        <v>1470</v>
      </c>
      <c r="O115">
        <v>812</v>
      </c>
      <c r="P115">
        <v>658</v>
      </c>
      <c r="Q115" s="18">
        <v>0.44761904761904803</v>
      </c>
    </row>
    <row r="116" spans="1:17" x14ac:dyDescent="0.25">
      <c r="A116" s="17">
        <v>46154</v>
      </c>
      <c r="B116" t="s">
        <v>76</v>
      </c>
      <c r="C116" t="s">
        <v>76</v>
      </c>
      <c r="D116" t="s">
        <v>8</v>
      </c>
      <c r="E116" t="s">
        <v>39</v>
      </c>
      <c r="F116" t="s">
        <v>29</v>
      </c>
      <c r="G116" t="s">
        <v>60</v>
      </c>
      <c r="H116" t="s">
        <v>10</v>
      </c>
      <c r="I116" t="s">
        <v>35</v>
      </c>
      <c r="J116">
        <v>12</v>
      </c>
      <c r="K116" t="s">
        <v>81</v>
      </c>
      <c r="L116">
        <v>89</v>
      </c>
      <c r="M116">
        <v>47</v>
      </c>
      <c r="N116">
        <v>1068</v>
      </c>
      <c r="O116">
        <v>564</v>
      </c>
      <c r="P116">
        <v>504</v>
      </c>
      <c r="Q116" s="18">
        <v>0.47191011235955099</v>
      </c>
    </row>
    <row r="117" spans="1:17" x14ac:dyDescent="0.25">
      <c r="A117" s="17">
        <v>46075</v>
      </c>
      <c r="B117" t="s">
        <v>12</v>
      </c>
      <c r="C117" t="s">
        <v>65</v>
      </c>
      <c r="D117" t="s">
        <v>68</v>
      </c>
      <c r="E117" t="s">
        <v>48</v>
      </c>
      <c r="F117" t="s">
        <v>29</v>
      </c>
      <c r="G117" t="s">
        <v>34</v>
      </c>
      <c r="H117" t="s">
        <v>10</v>
      </c>
      <c r="I117" t="s">
        <v>37</v>
      </c>
      <c r="J117">
        <v>10</v>
      </c>
      <c r="K117" t="s">
        <v>80</v>
      </c>
      <c r="L117">
        <v>128</v>
      </c>
      <c r="M117">
        <v>72</v>
      </c>
      <c r="N117">
        <v>1280</v>
      </c>
      <c r="O117">
        <v>720</v>
      </c>
      <c r="P117">
        <v>560</v>
      </c>
      <c r="Q117" s="18">
        <v>0.4375</v>
      </c>
    </row>
    <row r="118" spans="1:17" x14ac:dyDescent="0.25">
      <c r="A118" s="17">
        <v>46146</v>
      </c>
      <c r="B118" t="s">
        <v>36</v>
      </c>
      <c r="C118" t="s">
        <v>62</v>
      </c>
      <c r="D118" t="s">
        <v>33</v>
      </c>
      <c r="E118" t="s">
        <v>39</v>
      </c>
      <c r="F118" t="s">
        <v>24</v>
      </c>
      <c r="G118" t="s">
        <v>34</v>
      </c>
      <c r="H118" t="s">
        <v>10</v>
      </c>
      <c r="I118" t="s">
        <v>58</v>
      </c>
      <c r="J118">
        <v>6</v>
      </c>
      <c r="K118" t="s">
        <v>80</v>
      </c>
      <c r="L118">
        <v>112</v>
      </c>
      <c r="M118">
        <v>64</v>
      </c>
      <c r="N118">
        <v>672</v>
      </c>
      <c r="O118">
        <v>384</v>
      </c>
      <c r="P118">
        <v>288</v>
      </c>
      <c r="Q118" s="18">
        <v>0.42857142857142899</v>
      </c>
    </row>
    <row r="119" spans="1:17" x14ac:dyDescent="0.25">
      <c r="A119" s="17">
        <v>46197</v>
      </c>
      <c r="B119" t="s">
        <v>63</v>
      </c>
      <c r="C119" t="s">
        <v>76</v>
      </c>
      <c r="D119" t="s">
        <v>68</v>
      </c>
      <c r="E119" t="s">
        <v>48</v>
      </c>
      <c r="F119" t="s">
        <v>14</v>
      </c>
      <c r="G119" t="s">
        <v>25</v>
      </c>
      <c r="H119" t="s">
        <v>25</v>
      </c>
      <c r="I119" t="s">
        <v>16</v>
      </c>
      <c r="J119">
        <v>13</v>
      </c>
      <c r="K119" t="s">
        <v>80</v>
      </c>
      <c r="L119">
        <v>89</v>
      </c>
      <c r="M119">
        <v>47</v>
      </c>
      <c r="N119">
        <v>1157</v>
      </c>
      <c r="O119">
        <v>611</v>
      </c>
      <c r="P119">
        <v>546</v>
      </c>
      <c r="Q119" s="18">
        <v>0.47191011235955099</v>
      </c>
    </row>
    <row r="120" spans="1:17" x14ac:dyDescent="0.25">
      <c r="A120" s="17">
        <v>46101</v>
      </c>
      <c r="B120" t="s">
        <v>42</v>
      </c>
      <c r="C120" t="s">
        <v>42</v>
      </c>
      <c r="D120" t="s">
        <v>8</v>
      </c>
      <c r="E120" t="s">
        <v>39</v>
      </c>
      <c r="F120" t="s">
        <v>29</v>
      </c>
      <c r="G120" t="s">
        <v>34</v>
      </c>
      <c r="H120" t="s">
        <v>10</v>
      </c>
      <c r="I120" t="s">
        <v>11</v>
      </c>
      <c r="J120">
        <v>4</v>
      </c>
      <c r="K120" t="s">
        <v>82</v>
      </c>
      <c r="L120">
        <v>32</v>
      </c>
      <c r="M120">
        <v>14</v>
      </c>
      <c r="N120">
        <v>128</v>
      </c>
      <c r="O120">
        <v>56</v>
      </c>
      <c r="P120">
        <v>72</v>
      </c>
      <c r="Q120" s="18">
        <v>0.5625</v>
      </c>
    </row>
    <row r="121" spans="1:17" x14ac:dyDescent="0.25">
      <c r="A121" s="17">
        <v>46162</v>
      </c>
      <c r="B121" t="s">
        <v>71</v>
      </c>
      <c r="C121" t="s">
        <v>71</v>
      </c>
      <c r="D121" t="s">
        <v>39</v>
      </c>
      <c r="E121" t="s">
        <v>39</v>
      </c>
      <c r="F121" t="s">
        <v>9</v>
      </c>
      <c r="G121" t="s">
        <v>34</v>
      </c>
      <c r="H121" t="s">
        <v>10</v>
      </c>
      <c r="I121" t="s">
        <v>26</v>
      </c>
      <c r="J121">
        <v>12</v>
      </c>
      <c r="K121" t="s">
        <v>79</v>
      </c>
      <c r="L121">
        <v>76</v>
      </c>
      <c r="M121">
        <v>39</v>
      </c>
      <c r="N121">
        <v>912</v>
      </c>
      <c r="O121">
        <v>468</v>
      </c>
      <c r="P121">
        <v>444</v>
      </c>
      <c r="Q121" s="18">
        <v>0.48684210526315802</v>
      </c>
    </row>
    <row r="122" spans="1:17" x14ac:dyDescent="0.25">
      <c r="A122" s="17">
        <v>46248</v>
      </c>
      <c r="B122" t="s">
        <v>76</v>
      </c>
      <c r="C122" t="s">
        <v>76</v>
      </c>
      <c r="D122" t="s">
        <v>39</v>
      </c>
      <c r="E122" t="s">
        <v>39</v>
      </c>
      <c r="F122" t="s">
        <v>29</v>
      </c>
      <c r="G122" t="s">
        <v>40</v>
      </c>
      <c r="H122" t="s">
        <v>25</v>
      </c>
      <c r="I122" t="s">
        <v>31</v>
      </c>
      <c r="J122">
        <v>5</v>
      </c>
      <c r="K122" t="s">
        <v>82</v>
      </c>
      <c r="L122">
        <v>89</v>
      </c>
      <c r="M122">
        <v>47</v>
      </c>
      <c r="N122">
        <v>445</v>
      </c>
      <c r="O122">
        <v>235</v>
      </c>
      <c r="P122">
        <v>210</v>
      </c>
      <c r="Q122" s="18">
        <v>0.47191011235955099</v>
      </c>
    </row>
    <row r="123" spans="1:17" x14ac:dyDescent="0.25">
      <c r="A123" s="17">
        <v>46049</v>
      </c>
      <c r="B123" t="s">
        <v>22</v>
      </c>
      <c r="C123" t="s">
        <v>51</v>
      </c>
      <c r="D123" t="s">
        <v>72</v>
      </c>
      <c r="E123" t="s">
        <v>28</v>
      </c>
      <c r="F123" t="s">
        <v>19</v>
      </c>
      <c r="G123" t="s">
        <v>69</v>
      </c>
      <c r="H123" t="s">
        <v>69</v>
      </c>
      <c r="I123" t="s">
        <v>46</v>
      </c>
      <c r="J123">
        <v>7</v>
      </c>
      <c r="K123" t="s">
        <v>79</v>
      </c>
      <c r="L123">
        <v>54</v>
      </c>
      <c r="M123">
        <v>28</v>
      </c>
      <c r="N123">
        <v>378</v>
      </c>
      <c r="O123">
        <v>196</v>
      </c>
      <c r="P123">
        <v>182</v>
      </c>
      <c r="Q123" s="18">
        <v>0.48148148148148101</v>
      </c>
    </row>
    <row r="124" spans="1:17" x14ac:dyDescent="0.25">
      <c r="A124" s="17">
        <v>46190</v>
      </c>
      <c r="B124" t="s">
        <v>51</v>
      </c>
      <c r="C124" t="s">
        <v>51</v>
      </c>
      <c r="D124" t="s">
        <v>8</v>
      </c>
      <c r="E124" t="s">
        <v>39</v>
      </c>
      <c r="F124" t="s">
        <v>14</v>
      </c>
      <c r="G124" t="s">
        <v>30</v>
      </c>
      <c r="H124" t="s">
        <v>57</v>
      </c>
      <c r="I124" t="s">
        <v>26</v>
      </c>
      <c r="J124">
        <v>15</v>
      </c>
      <c r="K124" t="s">
        <v>79</v>
      </c>
      <c r="L124">
        <v>54</v>
      </c>
      <c r="M124">
        <v>28</v>
      </c>
      <c r="N124">
        <v>810</v>
      </c>
      <c r="O124">
        <v>420</v>
      </c>
      <c r="P124">
        <v>390</v>
      </c>
      <c r="Q124" s="18">
        <v>0.48148148148148101</v>
      </c>
    </row>
    <row r="125" spans="1:17" x14ac:dyDescent="0.25">
      <c r="A125" s="17">
        <v>46175</v>
      </c>
      <c r="B125" t="s">
        <v>74</v>
      </c>
      <c r="C125" t="s">
        <v>32</v>
      </c>
      <c r="D125" t="s">
        <v>39</v>
      </c>
      <c r="E125" t="s">
        <v>39</v>
      </c>
      <c r="F125" t="s">
        <v>19</v>
      </c>
      <c r="G125" t="s">
        <v>34</v>
      </c>
      <c r="H125" t="s">
        <v>10</v>
      </c>
      <c r="I125" t="s">
        <v>37</v>
      </c>
      <c r="J125">
        <v>15</v>
      </c>
      <c r="K125" t="s">
        <v>79</v>
      </c>
      <c r="L125">
        <v>105</v>
      </c>
      <c r="M125">
        <v>58</v>
      </c>
      <c r="N125">
        <v>1575</v>
      </c>
      <c r="O125">
        <v>870</v>
      </c>
      <c r="P125">
        <v>705</v>
      </c>
      <c r="Q125" s="18">
        <v>0.44761904761904803</v>
      </c>
    </row>
    <row r="126" spans="1:17" x14ac:dyDescent="0.25">
      <c r="A126" s="17">
        <v>46050</v>
      </c>
      <c r="B126" t="s">
        <v>64</v>
      </c>
      <c r="C126" t="s">
        <v>42</v>
      </c>
      <c r="D126" t="s">
        <v>39</v>
      </c>
      <c r="E126" t="s">
        <v>39</v>
      </c>
      <c r="F126" t="s">
        <v>19</v>
      </c>
      <c r="G126" t="s">
        <v>34</v>
      </c>
      <c r="H126" t="s">
        <v>10</v>
      </c>
      <c r="I126" t="s">
        <v>58</v>
      </c>
      <c r="J126">
        <v>5</v>
      </c>
      <c r="K126" t="s">
        <v>79</v>
      </c>
      <c r="L126">
        <v>32</v>
      </c>
      <c r="M126">
        <v>14</v>
      </c>
      <c r="N126">
        <v>160</v>
      </c>
      <c r="O126">
        <v>70</v>
      </c>
      <c r="P126">
        <v>90</v>
      </c>
      <c r="Q126" s="18">
        <v>0.5625</v>
      </c>
    </row>
    <row r="127" spans="1:17" x14ac:dyDescent="0.25">
      <c r="A127" s="17">
        <v>46205</v>
      </c>
      <c r="B127" t="s">
        <v>47</v>
      </c>
      <c r="C127" t="s">
        <v>17</v>
      </c>
      <c r="D127" t="s">
        <v>52</v>
      </c>
      <c r="E127" t="s">
        <v>13</v>
      </c>
      <c r="F127" t="s">
        <v>24</v>
      </c>
      <c r="G127" t="s">
        <v>15</v>
      </c>
      <c r="H127" t="s">
        <v>45</v>
      </c>
      <c r="I127" t="s">
        <v>43</v>
      </c>
      <c r="J127">
        <v>3</v>
      </c>
      <c r="K127" t="s">
        <v>81</v>
      </c>
      <c r="L127">
        <v>119</v>
      </c>
      <c r="M127">
        <v>67</v>
      </c>
      <c r="N127">
        <v>357</v>
      </c>
      <c r="O127">
        <v>201</v>
      </c>
      <c r="P127">
        <v>156</v>
      </c>
      <c r="Q127" s="18">
        <v>0.436974789915966</v>
      </c>
    </row>
    <row r="128" spans="1:17" x14ac:dyDescent="0.25">
      <c r="A128" s="17">
        <v>46121</v>
      </c>
      <c r="B128" t="s">
        <v>59</v>
      </c>
      <c r="C128" t="s">
        <v>32</v>
      </c>
      <c r="D128" t="s">
        <v>8</v>
      </c>
      <c r="E128" t="s">
        <v>39</v>
      </c>
      <c r="F128" t="s">
        <v>24</v>
      </c>
      <c r="G128" t="s">
        <v>69</v>
      </c>
      <c r="H128" t="s">
        <v>69</v>
      </c>
      <c r="I128" t="s">
        <v>16</v>
      </c>
      <c r="J128">
        <v>14</v>
      </c>
      <c r="K128" t="s">
        <v>81</v>
      </c>
      <c r="L128">
        <v>105</v>
      </c>
      <c r="M128">
        <v>58</v>
      </c>
      <c r="N128">
        <v>1470</v>
      </c>
      <c r="O128">
        <v>812</v>
      </c>
      <c r="P128">
        <v>658</v>
      </c>
      <c r="Q128" s="18">
        <v>0.44761904761904803</v>
      </c>
    </row>
    <row r="129" spans="1:17" x14ac:dyDescent="0.25">
      <c r="A129" s="17">
        <v>46056</v>
      </c>
      <c r="B129" t="s">
        <v>75</v>
      </c>
      <c r="C129" t="s">
        <v>62</v>
      </c>
      <c r="D129" t="s">
        <v>8</v>
      </c>
      <c r="E129" t="s">
        <v>39</v>
      </c>
      <c r="F129" t="s">
        <v>9</v>
      </c>
      <c r="G129" t="s">
        <v>60</v>
      </c>
      <c r="H129" t="s">
        <v>10</v>
      </c>
      <c r="I129" t="s">
        <v>41</v>
      </c>
      <c r="J129">
        <v>7</v>
      </c>
      <c r="K129" t="s">
        <v>81</v>
      </c>
      <c r="L129">
        <v>112</v>
      </c>
      <c r="M129">
        <v>64</v>
      </c>
      <c r="N129">
        <v>784</v>
      </c>
      <c r="O129">
        <v>448</v>
      </c>
      <c r="P129">
        <v>336</v>
      </c>
      <c r="Q129" s="18">
        <v>0.42857142857142899</v>
      </c>
    </row>
    <row r="130" spans="1:17" x14ac:dyDescent="0.25">
      <c r="A130" s="17">
        <v>46222</v>
      </c>
      <c r="B130" t="s">
        <v>7</v>
      </c>
      <c r="C130" t="s">
        <v>42</v>
      </c>
      <c r="D130" t="s">
        <v>72</v>
      </c>
      <c r="E130" t="s">
        <v>28</v>
      </c>
      <c r="F130" t="s">
        <v>14</v>
      </c>
      <c r="G130" t="s">
        <v>53</v>
      </c>
      <c r="H130" t="s">
        <v>25</v>
      </c>
      <c r="I130" t="s">
        <v>54</v>
      </c>
      <c r="J130">
        <v>8</v>
      </c>
      <c r="K130" t="s">
        <v>81</v>
      </c>
      <c r="L130">
        <v>32</v>
      </c>
      <c r="M130">
        <v>14</v>
      </c>
      <c r="N130">
        <v>256</v>
      </c>
      <c r="O130">
        <v>112</v>
      </c>
      <c r="P130">
        <v>144</v>
      </c>
      <c r="Q130" s="18">
        <v>0.5625</v>
      </c>
    </row>
    <row r="131" spans="1:17" x14ac:dyDescent="0.25">
      <c r="A131" s="17">
        <v>46210</v>
      </c>
      <c r="B131" t="s">
        <v>71</v>
      </c>
      <c r="C131" t="s">
        <v>71</v>
      </c>
      <c r="D131" t="s">
        <v>33</v>
      </c>
      <c r="E131" t="s">
        <v>39</v>
      </c>
      <c r="F131" t="s">
        <v>29</v>
      </c>
      <c r="G131" t="s">
        <v>40</v>
      </c>
      <c r="H131" t="s">
        <v>25</v>
      </c>
      <c r="I131" t="s">
        <v>54</v>
      </c>
      <c r="J131">
        <v>3</v>
      </c>
      <c r="K131" t="s">
        <v>80</v>
      </c>
      <c r="L131">
        <v>76</v>
      </c>
      <c r="M131">
        <v>39</v>
      </c>
      <c r="N131">
        <v>228</v>
      </c>
      <c r="O131">
        <v>117</v>
      </c>
      <c r="P131">
        <v>111</v>
      </c>
      <c r="Q131" s="18">
        <v>0.48684210526315802</v>
      </c>
    </row>
    <row r="132" spans="1:17" x14ac:dyDescent="0.25">
      <c r="A132" s="17">
        <v>46065</v>
      </c>
      <c r="B132" t="s">
        <v>74</v>
      </c>
      <c r="C132" t="s">
        <v>32</v>
      </c>
      <c r="D132" t="s">
        <v>8</v>
      </c>
      <c r="E132" t="s">
        <v>39</v>
      </c>
      <c r="F132" t="s">
        <v>14</v>
      </c>
      <c r="G132" t="s">
        <v>40</v>
      </c>
      <c r="H132" t="s">
        <v>25</v>
      </c>
      <c r="I132" t="s">
        <v>35</v>
      </c>
      <c r="J132">
        <v>10</v>
      </c>
      <c r="K132" t="s">
        <v>80</v>
      </c>
      <c r="L132">
        <v>105</v>
      </c>
      <c r="M132">
        <v>58</v>
      </c>
      <c r="N132">
        <v>1050</v>
      </c>
      <c r="O132">
        <v>580</v>
      </c>
      <c r="P132">
        <v>470</v>
      </c>
      <c r="Q132" s="18">
        <v>0.44761904761904803</v>
      </c>
    </row>
    <row r="133" spans="1:17" x14ac:dyDescent="0.25">
      <c r="A133" s="17">
        <v>46025</v>
      </c>
      <c r="B133" t="s">
        <v>7</v>
      </c>
      <c r="C133" t="s">
        <v>42</v>
      </c>
      <c r="D133" t="s">
        <v>8</v>
      </c>
      <c r="E133" t="s">
        <v>39</v>
      </c>
      <c r="F133" t="s">
        <v>19</v>
      </c>
      <c r="G133" t="s">
        <v>60</v>
      </c>
      <c r="H133" t="s">
        <v>10</v>
      </c>
      <c r="I133" t="s">
        <v>58</v>
      </c>
      <c r="J133">
        <v>15</v>
      </c>
      <c r="K133" t="s">
        <v>82</v>
      </c>
      <c r="L133">
        <v>32</v>
      </c>
      <c r="M133">
        <v>14</v>
      </c>
      <c r="N133">
        <v>480</v>
      </c>
      <c r="O133">
        <v>210</v>
      </c>
      <c r="P133">
        <v>270</v>
      </c>
      <c r="Q133" s="18">
        <v>0.5625</v>
      </c>
    </row>
    <row r="134" spans="1:17" x14ac:dyDescent="0.25">
      <c r="A134" s="17">
        <v>46163</v>
      </c>
      <c r="B134" t="s">
        <v>70</v>
      </c>
      <c r="C134" t="s">
        <v>51</v>
      </c>
      <c r="D134" t="s">
        <v>8</v>
      </c>
      <c r="E134" t="s">
        <v>39</v>
      </c>
      <c r="F134" t="s">
        <v>29</v>
      </c>
      <c r="G134" t="s">
        <v>57</v>
      </c>
      <c r="H134" t="s">
        <v>57</v>
      </c>
      <c r="I134" t="s">
        <v>35</v>
      </c>
      <c r="J134">
        <v>8</v>
      </c>
      <c r="K134" t="s">
        <v>81</v>
      </c>
      <c r="L134">
        <v>54</v>
      </c>
      <c r="M134">
        <v>28</v>
      </c>
      <c r="N134">
        <v>432</v>
      </c>
      <c r="O134">
        <v>224</v>
      </c>
      <c r="P134">
        <v>208</v>
      </c>
      <c r="Q134" s="18">
        <v>0.48148148148148101</v>
      </c>
    </row>
    <row r="135" spans="1:17" x14ac:dyDescent="0.25">
      <c r="A135" s="17">
        <v>46233</v>
      </c>
      <c r="B135" t="s">
        <v>55</v>
      </c>
      <c r="C135" t="s">
        <v>71</v>
      </c>
      <c r="D135" t="s">
        <v>23</v>
      </c>
      <c r="E135" t="s">
        <v>13</v>
      </c>
      <c r="F135" t="s">
        <v>29</v>
      </c>
      <c r="G135" t="s">
        <v>66</v>
      </c>
      <c r="H135" t="s">
        <v>45</v>
      </c>
      <c r="I135" t="s">
        <v>46</v>
      </c>
      <c r="J135">
        <v>9</v>
      </c>
      <c r="K135" t="s">
        <v>82</v>
      </c>
      <c r="L135">
        <v>76</v>
      </c>
      <c r="M135">
        <v>39</v>
      </c>
      <c r="N135">
        <v>684</v>
      </c>
      <c r="O135">
        <v>351</v>
      </c>
      <c r="P135">
        <v>333</v>
      </c>
      <c r="Q135" s="18">
        <v>0.48684210526315802</v>
      </c>
    </row>
    <row r="136" spans="1:17" x14ac:dyDescent="0.25">
      <c r="A136" s="17">
        <v>46223</v>
      </c>
      <c r="B136" t="s">
        <v>17</v>
      </c>
      <c r="C136" t="s">
        <v>17</v>
      </c>
      <c r="D136" t="s">
        <v>39</v>
      </c>
      <c r="E136" t="s">
        <v>39</v>
      </c>
      <c r="F136" t="s">
        <v>9</v>
      </c>
      <c r="G136" t="s">
        <v>25</v>
      </c>
      <c r="H136" t="s">
        <v>25</v>
      </c>
      <c r="I136" t="s">
        <v>61</v>
      </c>
      <c r="J136">
        <v>10</v>
      </c>
      <c r="K136" t="s">
        <v>79</v>
      </c>
      <c r="L136">
        <v>119</v>
      </c>
      <c r="M136">
        <v>67</v>
      </c>
      <c r="N136">
        <v>1190</v>
      </c>
      <c r="O136">
        <v>670</v>
      </c>
      <c r="P136">
        <v>520</v>
      </c>
      <c r="Q136" s="18">
        <v>0.436974789915966</v>
      </c>
    </row>
    <row r="137" spans="1:17" x14ac:dyDescent="0.25">
      <c r="A137" s="17">
        <v>46121</v>
      </c>
      <c r="B137" t="s">
        <v>62</v>
      </c>
      <c r="C137" t="s">
        <v>62</v>
      </c>
      <c r="D137" t="s">
        <v>39</v>
      </c>
      <c r="E137" t="s">
        <v>39</v>
      </c>
      <c r="F137" t="s">
        <v>19</v>
      </c>
      <c r="G137" t="s">
        <v>69</v>
      </c>
      <c r="H137" t="s">
        <v>69</v>
      </c>
      <c r="I137" t="s">
        <v>50</v>
      </c>
      <c r="J137">
        <v>6</v>
      </c>
      <c r="K137" t="s">
        <v>80</v>
      </c>
      <c r="L137">
        <v>112</v>
      </c>
      <c r="M137">
        <v>64</v>
      </c>
      <c r="N137">
        <v>672</v>
      </c>
      <c r="O137">
        <v>384</v>
      </c>
      <c r="P137">
        <v>288</v>
      </c>
      <c r="Q137" s="18">
        <v>0.42857142857142899</v>
      </c>
    </row>
    <row r="138" spans="1:17" x14ac:dyDescent="0.25">
      <c r="A138" s="17">
        <v>46173</v>
      </c>
      <c r="B138" t="s">
        <v>44</v>
      </c>
      <c r="C138" t="s">
        <v>65</v>
      </c>
      <c r="D138" t="s">
        <v>39</v>
      </c>
      <c r="E138" t="s">
        <v>39</v>
      </c>
      <c r="F138" t="s">
        <v>24</v>
      </c>
      <c r="G138" t="s">
        <v>40</v>
      </c>
      <c r="H138" t="s">
        <v>25</v>
      </c>
      <c r="I138" t="s">
        <v>58</v>
      </c>
      <c r="J138">
        <v>7</v>
      </c>
      <c r="K138" t="s">
        <v>80</v>
      </c>
      <c r="L138">
        <v>128</v>
      </c>
      <c r="M138">
        <v>72</v>
      </c>
      <c r="N138">
        <v>896</v>
      </c>
      <c r="O138">
        <v>504</v>
      </c>
      <c r="P138">
        <v>392</v>
      </c>
      <c r="Q138" s="18">
        <v>0.4375</v>
      </c>
    </row>
    <row r="139" spans="1:17" x14ac:dyDescent="0.25">
      <c r="A139" s="17">
        <v>46219</v>
      </c>
      <c r="B139" t="s">
        <v>55</v>
      </c>
      <c r="C139" t="s">
        <v>71</v>
      </c>
      <c r="D139" t="s">
        <v>48</v>
      </c>
      <c r="E139" t="s">
        <v>48</v>
      </c>
      <c r="F139" t="s">
        <v>19</v>
      </c>
      <c r="G139" t="s">
        <v>15</v>
      </c>
      <c r="H139" t="s">
        <v>45</v>
      </c>
      <c r="I139" t="s">
        <v>21</v>
      </c>
      <c r="J139">
        <v>15</v>
      </c>
      <c r="K139" t="s">
        <v>81</v>
      </c>
      <c r="L139">
        <v>76</v>
      </c>
      <c r="M139">
        <v>39</v>
      </c>
      <c r="N139">
        <v>1140</v>
      </c>
      <c r="O139">
        <v>585</v>
      </c>
      <c r="P139">
        <v>555</v>
      </c>
      <c r="Q139" s="18">
        <v>0.48684210526315802</v>
      </c>
    </row>
    <row r="140" spans="1:17" x14ac:dyDescent="0.25">
      <c r="A140" s="17">
        <v>46203</v>
      </c>
      <c r="B140" t="s">
        <v>76</v>
      </c>
      <c r="C140" t="s">
        <v>76</v>
      </c>
      <c r="D140" t="s">
        <v>33</v>
      </c>
      <c r="E140" t="s">
        <v>39</v>
      </c>
      <c r="F140" t="s">
        <v>24</v>
      </c>
      <c r="G140" t="s">
        <v>25</v>
      </c>
      <c r="H140" t="s">
        <v>25</v>
      </c>
      <c r="I140" t="s">
        <v>50</v>
      </c>
      <c r="J140">
        <v>11</v>
      </c>
      <c r="K140" t="s">
        <v>79</v>
      </c>
      <c r="L140">
        <v>89</v>
      </c>
      <c r="M140">
        <v>47</v>
      </c>
      <c r="N140">
        <v>979</v>
      </c>
      <c r="O140">
        <v>517</v>
      </c>
      <c r="P140">
        <v>462</v>
      </c>
      <c r="Q140" s="18">
        <v>0.47191011235955099</v>
      </c>
    </row>
    <row r="141" spans="1:17" x14ac:dyDescent="0.25">
      <c r="A141" s="17">
        <v>46156</v>
      </c>
      <c r="B141" t="s">
        <v>44</v>
      </c>
      <c r="C141" t="s">
        <v>65</v>
      </c>
      <c r="D141" t="s">
        <v>13</v>
      </c>
      <c r="E141" t="s">
        <v>13</v>
      </c>
      <c r="F141" t="s">
        <v>19</v>
      </c>
      <c r="G141" t="s">
        <v>49</v>
      </c>
      <c r="H141" t="s">
        <v>69</v>
      </c>
      <c r="I141" t="s">
        <v>11</v>
      </c>
      <c r="J141">
        <v>8</v>
      </c>
      <c r="K141" t="s">
        <v>80</v>
      </c>
      <c r="L141">
        <v>128</v>
      </c>
      <c r="M141">
        <v>72</v>
      </c>
      <c r="N141">
        <v>1024</v>
      </c>
      <c r="O141">
        <v>576</v>
      </c>
      <c r="P141">
        <v>448</v>
      </c>
      <c r="Q141" s="18">
        <v>0.4375</v>
      </c>
    </row>
    <row r="142" spans="1:17" x14ac:dyDescent="0.25">
      <c r="A142" s="17">
        <v>46244</v>
      </c>
      <c r="B142" t="s">
        <v>76</v>
      </c>
      <c r="C142" t="s">
        <v>76</v>
      </c>
      <c r="D142" t="s">
        <v>33</v>
      </c>
      <c r="E142" t="s">
        <v>39</v>
      </c>
      <c r="F142" t="s">
        <v>29</v>
      </c>
      <c r="G142" t="s">
        <v>53</v>
      </c>
      <c r="H142" t="s">
        <v>25</v>
      </c>
      <c r="I142" t="s">
        <v>41</v>
      </c>
      <c r="J142">
        <v>8</v>
      </c>
      <c r="K142" t="s">
        <v>79</v>
      </c>
      <c r="L142">
        <v>89</v>
      </c>
      <c r="M142">
        <v>47</v>
      </c>
      <c r="N142">
        <v>712</v>
      </c>
      <c r="O142">
        <v>376</v>
      </c>
      <c r="P142">
        <v>336</v>
      </c>
      <c r="Q142" s="18">
        <v>0.47191011235955099</v>
      </c>
    </row>
    <row r="143" spans="1:17" x14ac:dyDescent="0.25">
      <c r="A143" s="17">
        <v>46050</v>
      </c>
      <c r="B143" t="s">
        <v>44</v>
      </c>
      <c r="C143" t="s">
        <v>65</v>
      </c>
      <c r="D143" t="s">
        <v>56</v>
      </c>
      <c r="E143" t="s">
        <v>28</v>
      </c>
      <c r="F143" t="s">
        <v>14</v>
      </c>
      <c r="G143" t="s">
        <v>49</v>
      </c>
      <c r="H143" t="s">
        <v>69</v>
      </c>
      <c r="I143" t="s">
        <v>50</v>
      </c>
      <c r="J143">
        <v>2</v>
      </c>
      <c r="K143" t="s">
        <v>82</v>
      </c>
      <c r="L143">
        <v>128</v>
      </c>
      <c r="M143">
        <v>72</v>
      </c>
      <c r="N143">
        <v>256</v>
      </c>
      <c r="O143">
        <v>144</v>
      </c>
      <c r="P143">
        <v>112</v>
      </c>
      <c r="Q143" s="18">
        <v>0.4375</v>
      </c>
    </row>
    <row r="144" spans="1:17" x14ac:dyDescent="0.25">
      <c r="A144" s="17">
        <v>46069</v>
      </c>
      <c r="B144" t="s">
        <v>59</v>
      </c>
      <c r="C144" t="s">
        <v>32</v>
      </c>
      <c r="D144" t="s">
        <v>8</v>
      </c>
      <c r="E144" t="s">
        <v>39</v>
      </c>
      <c r="F144" t="s">
        <v>19</v>
      </c>
      <c r="G144" t="s">
        <v>34</v>
      </c>
      <c r="H144" t="s">
        <v>10</v>
      </c>
      <c r="I144" t="s">
        <v>21</v>
      </c>
      <c r="J144">
        <v>12</v>
      </c>
      <c r="K144" t="s">
        <v>80</v>
      </c>
      <c r="L144">
        <v>105</v>
      </c>
      <c r="M144">
        <v>58</v>
      </c>
      <c r="N144">
        <v>1260</v>
      </c>
      <c r="O144">
        <v>696</v>
      </c>
      <c r="P144">
        <v>564</v>
      </c>
      <c r="Q144" s="18">
        <v>0.44761904761904803</v>
      </c>
    </row>
    <row r="145" spans="1:17" x14ac:dyDescent="0.25">
      <c r="A145" s="17">
        <v>46229</v>
      </c>
      <c r="B145" t="s">
        <v>12</v>
      </c>
      <c r="C145" t="s">
        <v>65</v>
      </c>
      <c r="D145" t="s">
        <v>39</v>
      </c>
      <c r="E145" t="s">
        <v>39</v>
      </c>
      <c r="F145" t="s">
        <v>24</v>
      </c>
      <c r="G145" t="s">
        <v>53</v>
      </c>
      <c r="H145" t="s">
        <v>25</v>
      </c>
      <c r="I145" t="s">
        <v>35</v>
      </c>
      <c r="J145">
        <v>13</v>
      </c>
      <c r="K145" t="s">
        <v>81</v>
      </c>
      <c r="L145">
        <v>128</v>
      </c>
      <c r="M145">
        <v>72</v>
      </c>
      <c r="N145">
        <v>1664</v>
      </c>
      <c r="O145">
        <v>936</v>
      </c>
      <c r="P145">
        <v>728</v>
      </c>
      <c r="Q145" s="18">
        <v>0.4375</v>
      </c>
    </row>
    <row r="146" spans="1:17" x14ac:dyDescent="0.25">
      <c r="A146" s="17">
        <v>46109</v>
      </c>
      <c r="B146" t="s">
        <v>51</v>
      </c>
      <c r="C146" t="s">
        <v>51</v>
      </c>
      <c r="D146" t="s">
        <v>13</v>
      </c>
      <c r="E146" t="s">
        <v>13</v>
      </c>
      <c r="F146" t="s">
        <v>9</v>
      </c>
      <c r="G146" t="s">
        <v>30</v>
      </c>
      <c r="H146" t="s">
        <v>57</v>
      </c>
      <c r="I146" t="s">
        <v>35</v>
      </c>
      <c r="J146">
        <v>3</v>
      </c>
      <c r="K146" t="s">
        <v>79</v>
      </c>
      <c r="L146">
        <v>54</v>
      </c>
      <c r="M146">
        <v>28</v>
      </c>
      <c r="N146">
        <v>162</v>
      </c>
      <c r="O146">
        <v>84</v>
      </c>
      <c r="P146">
        <v>78</v>
      </c>
      <c r="Q146" s="18">
        <v>0.48148148148148101</v>
      </c>
    </row>
    <row r="147" spans="1:17" x14ac:dyDescent="0.25">
      <c r="A147" s="17">
        <v>46130</v>
      </c>
      <c r="B147" t="s">
        <v>65</v>
      </c>
      <c r="C147" t="s">
        <v>65</v>
      </c>
      <c r="D147" t="s">
        <v>33</v>
      </c>
      <c r="E147" t="s">
        <v>39</v>
      </c>
      <c r="F147" t="s">
        <v>9</v>
      </c>
      <c r="G147" t="s">
        <v>25</v>
      </c>
      <c r="H147" t="s">
        <v>25</v>
      </c>
      <c r="I147" t="s">
        <v>46</v>
      </c>
      <c r="J147">
        <v>11</v>
      </c>
      <c r="K147" t="s">
        <v>80</v>
      </c>
      <c r="L147">
        <v>128</v>
      </c>
      <c r="M147">
        <v>72</v>
      </c>
      <c r="N147">
        <v>1408</v>
      </c>
      <c r="O147">
        <v>792</v>
      </c>
      <c r="P147">
        <v>616</v>
      </c>
      <c r="Q147" s="18">
        <v>0.4375</v>
      </c>
    </row>
    <row r="148" spans="1:17" x14ac:dyDescent="0.25">
      <c r="A148" s="17">
        <v>46194</v>
      </c>
      <c r="B148" t="s">
        <v>75</v>
      </c>
      <c r="C148" t="s">
        <v>62</v>
      </c>
      <c r="D148" t="s">
        <v>8</v>
      </c>
      <c r="E148" t="s">
        <v>39</v>
      </c>
      <c r="F148" t="s">
        <v>19</v>
      </c>
      <c r="G148" t="s">
        <v>40</v>
      </c>
      <c r="H148" t="s">
        <v>25</v>
      </c>
      <c r="I148" t="s">
        <v>26</v>
      </c>
      <c r="J148">
        <v>3</v>
      </c>
      <c r="K148" t="s">
        <v>79</v>
      </c>
      <c r="L148">
        <v>112</v>
      </c>
      <c r="M148">
        <v>64</v>
      </c>
      <c r="N148">
        <v>336</v>
      </c>
      <c r="O148">
        <v>192</v>
      </c>
      <c r="P148">
        <v>144</v>
      </c>
      <c r="Q148" s="18">
        <v>0.42857142857142899</v>
      </c>
    </row>
    <row r="149" spans="1:17" x14ac:dyDescent="0.25">
      <c r="A149" s="17">
        <v>46060</v>
      </c>
      <c r="B149" t="s">
        <v>32</v>
      </c>
      <c r="C149" t="s">
        <v>32</v>
      </c>
      <c r="D149" t="s">
        <v>18</v>
      </c>
      <c r="E149" t="s">
        <v>48</v>
      </c>
      <c r="F149" t="s">
        <v>29</v>
      </c>
      <c r="G149" t="s">
        <v>40</v>
      </c>
      <c r="H149" t="s">
        <v>25</v>
      </c>
      <c r="I149" t="s">
        <v>26</v>
      </c>
      <c r="J149">
        <v>14</v>
      </c>
      <c r="K149" t="s">
        <v>80</v>
      </c>
      <c r="L149">
        <v>105</v>
      </c>
      <c r="M149">
        <v>58</v>
      </c>
      <c r="N149">
        <v>1470</v>
      </c>
      <c r="O149">
        <v>812</v>
      </c>
      <c r="P149">
        <v>658</v>
      </c>
      <c r="Q149" s="18">
        <v>0.44761904761904803</v>
      </c>
    </row>
    <row r="150" spans="1:17" x14ac:dyDescent="0.25">
      <c r="A150" s="17">
        <v>46065</v>
      </c>
      <c r="B150" t="s">
        <v>17</v>
      </c>
      <c r="C150" t="s">
        <v>17</v>
      </c>
      <c r="D150" t="s">
        <v>52</v>
      </c>
      <c r="E150" t="s">
        <v>13</v>
      </c>
      <c r="F150" t="s">
        <v>14</v>
      </c>
      <c r="G150" t="s">
        <v>10</v>
      </c>
      <c r="H150" t="s">
        <v>10</v>
      </c>
      <c r="I150" t="s">
        <v>26</v>
      </c>
      <c r="J150">
        <v>1</v>
      </c>
      <c r="K150" t="s">
        <v>81</v>
      </c>
      <c r="L150">
        <v>119</v>
      </c>
      <c r="M150">
        <v>67</v>
      </c>
      <c r="N150">
        <v>119</v>
      </c>
      <c r="O150">
        <v>67</v>
      </c>
      <c r="P150">
        <v>52</v>
      </c>
      <c r="Q150" s="18">
        <v>0.436974789915966</v>
      </c>
    </row>
    <row r="151" spans="1:17" x14ac:dyDescent="0.25">
      <c r="A151" s="17">
        <v>46166</v>
      </c>
      <c r="B151" t="s">
        <v>75</v>
      </c>
      <c r="C151" t="s">
        <v>62</v>
      </c>
      <c r="D151" t="s">
        <v>39</v>
      </c>
      <c r="E151" t="s">
        <v>39</v>
      </c>
      <c r="F151" t="s">
        <v>29</v>
      </c>
      <c r="G151" t="s">
        <v>45</v>
      </c>
      <c r="H151" t="s">
        <v>45</v>
      </c>
      <c r="I151" t="s">
        <v>35</v>
      </c>
      <c r="J151">
        <v>10</v>
      </c>
      <c r="K151" t="s">
        <v>79</v>
      </c>
      <c r="L151">
        <v>112</v>
      </c>
      <c r="M151">
        <v>64</v>
      </c>
      <c r="N151">
        <v>1120</v>
      </c>
      <c r="O151">
        <v>640</v>
      </c>
      <c r="P151">
        <v>480</v>
      </c>
      <c r="Q151" s="18">
        <v>0.42857142857142899</v>
      </c>
    </row>
    <row r="152" spans="1:17" x14ac:dyDescent="0.25">
      <c r="A152" s="17">
        <v>46210</v>
      </c>
      <c r="B152" t="s">
        <v>38</v>
      </c>
      <c r="C152" t="s">
        <v>76</v>
      </c>
      <c r="D152" t="s">
        <v>8</v>
      </c>
      <c r="E152" t="s">
        <v>39</v>
      </c>
      <c r="F152" t="s">
        <v>29</v>
      </c>
      <c r="G152" t="s">
        <v>20</v>
      </c>
      <c r="H152" t="s">
        <v>69</v>
      </c>
      <c r="I152" t="s">
        <v>54</v>
      </c>
      <c r="J152">
        <v>7</v>
      </c>
      <c r="K152" t="s">
        <v>79</v>
      </c>
      <c r="L152">
        <v>89</v>
      </c>
      <c r="M152">
        <v>47</v>
      </c>
      <c r="N152">
        <v>623</v>
      </c>
      <c r="O152">
        <v>329</v>
      </c>
      <c r="P152">
        <v>294</v>
      </c>
      <c r="Q152" s="18">
        <v>0.47191011235955099</v>
      </c>
    </row>
    <row r="153" spans="1:17" x14ac:dyDescent="0.25">
      <c r="A153" s="17">
        <v>46125</v>
      </c>
      <c r="B153" t="s">
        <v>74</v>
      </c>
      <c r="C153" t="s">
        <v>32</v>
      </c>
      <c r="D153" t="s">
        <v>72</v>
      </c>
      <c r="E153" t="s">
        <v>28</v>
      </c>
      <c r="F153" t="s">
        <v>14</v>
      </c>
      <c r="G153" t="s">
        <v>25</v>
      </c>
      <c r="H153" t="s">
        <v>25</v>
      </c>
      <c r="I153" t="s">
        <v>58</v>
      </c>
      <c r="J153">
        <v>6</v>
      </c>
      <c r="K153" t="s">
        <v>82</v>
      </c>
      <c r="L153">
        <v>105</v>
      </c>
      <c r="M153">
        <v>58</v>
      </c>
      <c r="N153">
        <v>630</v>
      </c>
      <c r="O153">
        <v>348</v>
      </c>
      <c r="P153">
        <v>282</v>
      </c>
      <c r="Q153" s="18">
        <v>0.44761904761904803</v>
      </c>
    </row>
    <row r="154" spans="1:17" x14ac:dyDescent="0.25">
      <c r="A154" s="17">
        <v>46199</v>
      </c>
      <c r="B154" t="s">
        <v>75</v>
      </c>
      <c r="C154" t="s">
        <v>62</v>
      </c>
      <c r="D154" t="s">
        <v>56</v>
      </c>
      <c r="E154" t="s">
        <v>28</v>
      </c>
      <c r="F154" t="s">
        <v>14</v>
      </c>
      <c r="G154" t="s">
        <v>20</v>
      </c>
      <c r="H154" t="s">
        <v>69</v>
      </c>
      <c r="I154" t="s">
        <v>37</v>
      </c>
      <c r="J154">
        <v>8</v>
      </c>
      <c r="K154" t="s">
        <v>79</v>
      </c>
      <c r="L154">
        <v>112</v>
      </c>
      <c r="M154">
        <v>64</v>
      </c>
      <c r="N154">
        <v>896</v>
      </c>
      <c r="O154">
        <v>512</v>
      </c>
      <c r="P154">
        <v>384</v>
      </c>
      <c r="Q154" s="18">
        <v>0.42857142857142899</v>
      </c>
    </row>
    <row r="155" spans="1:17" x14ac:dyDescent="0.25">
      <c r="A155" s="17">
        <v>46092</v>
      </c>
      <c r="B155" t="s">
        <v>55</v>
      </c>
      <c r="C155" t="s">
        <v>71</v>
      </c>
      <c r="D155" t="s">
        <v>39</v>
      </c>
      <c r="E155" t="s">
        <v>39</v>
      </c>
      <c r="F155" t="s">
        <v>29</v>
      </c>
      <c r="G155" t="s">
        <v>53</v>
      </c>
      <c r="H155" t="s">
        <v>25</v>
      </c>
      <c r="I155" t="s">
        <v>54</v>
      </c>
      <c r="J155">
        <v>13</v>
      </c>
      <c r="K155" t="s">
        <v>80</v>
      </c>
      <c r="L155">
        <v>76</v>
      </c>
      <c r="M155">
        <v>39</v>
      </c>
      <c r="N155">
        <v>988</v>
      </c>
      <c r="O155">
        <v>507</v>
      </c>
      <c r="P155">
        <v>481</v>
      </c>
      <c r="Q155" s="18">
        <v>0.48684210526315802</v>
      </c>
    </row>
    <row r="156" spans="1:17" x14ac:dyDescent="0.25">
      <c r="A156" s="17">
        <v>46194</v>
      </c>
      <c r="B156" t="s">
        <v>44</v>
      </c>
      <c r="C156" t="s">
        <v>65</v>
      </c>
      <c r="D156" t="s">
        <v>33</v>
      </c>
      <c r="E156" t="s">
        <v>39</v>
      </c>
      <c r="F156" t="s">
        <v>9</v>
      </c>
      <c r="G156" t="s">
        <v>30</v>
      </c>
      <c r="H156" t="s">
        <v>57</v>
      </c>
      <c r="I156" t="s">
        <v>11</v>
      </c>
      <c r="J156">
        <v>11</v>
      </c>
      <c r="K156" t="s">
        <v>80</v>
      </c>
      <c r="L156">
        <v>128</v>
      </c>
      <c r="M156">
        <v>72</v>
      </c>
      <c r="N156">
        <v>1408</v>
      </c>
      <c r="O156">
        <v>792</v>
      </c>
      <c r="P156">
        <v>616</v>
      </c>
      <c r="Q156" s="18">
        <v>0.4375</v>
      </c>
    </row>
    <row r="157" spans="1:17" x14ac:dyDescent="0.25">
      <c r="A157" s="17">
        <v>46179</v>
      </c>
      <c r="B157" t="s">
        <v>36</v>
      </c>
      <c r="C157" t="s">
        <v>62</v>
      </c>
      <c r="D157" t="s">
        <v>33</v>
      </c>
      <c r="E157" t="s">
        <v>39</v>
      </c>
      <c r="F157" t="s">
        <v>14</v>
      </c>
      <c r="G157" t="s">
        <v>53</v>
      </c>
      <c r="H157" t="s">
        <v>25</v>
      </c>
      <c r="I157" t="s">
        <v>21</v>
      </c>
      <c r="J157">
        <v>8</v>
      </c>
      <c r="K157" t="s">
        <v>82</v>
      </c>
      <c r="L157">
        <v>112</v>
      </c>
      <c r="M157">
        <v>64</v>
      </c>
      <c r="N157">
        <v>896</v>
      </c>
      <c r="O157">
        <v>512</v>
      </c>
      <c r="P157">
        <v>384</v>
      </c>
      <c r="Q157" s="18">
        <v>0.42857142857142899</v>
      </c>
    </row>
    <row r="158" spans="1:17" x14ac:dyDescent="0.25">
      <c r="A158" s="17">
        <v>46024</v>
      </c>
      <c r="B158" t="s">
        <v>22</v>
      </c>
      <c r="C158" t="s">
        <v>51</v>
      </c>
      <c r="D158" t="s">
        <v>8</v>
      </c>
      <c r="E158" t="s">
        <v>39</v>
      </c>
      <c r="F158" t="s">
        <v>9</v>
      </c>
      <c r="G158" t="s">
        <v>66</v>
      </c>
      <c r="H158" t="s">
        <v>45</v>
      </c>
      <c r="I158" t="s">
        <v>46</v>
      </c>
      <c r="J158">
        <v>13</v>
      </c>
      <c r="K158" t="s">
        <v>82</v>
      </c>
      <c r="L158">
        <v>54</v>
      </c>
      <c r="M158">
        <v>28</v>
      </c>
      <c r="N158">
        <v>702</v>
      </c>
      <c r="O158">
        <v>364</v>
      </c>
      <c r="P158">
        <v>338</v>
      </c>
      <c r="Q158" s="18">
        <v>0.48148148148148101</v>
      </c>
    </row>
    <row r="159" spans="1:17" x14ac:dyDescent="0.25">
      <c r="A159" s="17">
        <v>46024</v>
      </c>
      <c r="B159" t="s">
        <v>38</v>
      </c>
      <c r="C159" t="s">
        <v>76</v>
      </c>
      <c r="D159" t="s">
        <v>56</v>
      </c>
      <c r="E159" t="s">
        <v>28</v>
      </c>
      <c r="F159" t="s">
        <v>24</v>
      </c>
      <c r="G159" t="s">
        <v>40</v>
      </c>
      <c r="H159" t="s">
        <v>25</v>
      </c>
      <c r="I159" t="s">
        <v>11</v>
      </c>
      <c r="J159">
        <v>12</v>
      </c>
      <c r="K159" t="s">
        <v>81</v>
      </c>
      <c r="L159">
        <v>89</v>
      </c>
      <c r="M159">
        <v>47</v>
      </c>
      <c r="N159">
        <v>1068</v>
      </c>
      <c r="O159">
        <v>564</v>
      </c>
      <c r="P159">
        <v>504</v>
      </c>
      <c r="Q159" s="18">
        <v>0.47191011235955099</v>
      </c>
    </row>
    <row r="160" spans="1:17" x14ac:dyDescent="0.25">
      <c r="A160" s="17">
        <v>46106</v>
      </c>
      <c r="B160" t="s">
        <v>27</v>
      </c>
      <c r="C160" t="s">
        <v>71</v>
      </c>
      <c r="D160" t="s">
        <v>52</v>
      </c>
      <c r="E160" t="s">
        <v>13</v>
      </c>
      <c r="F160" t="s">
        <v>29</v>
      </c>
      <c r="G160" t="s">
        <v>60</v>
      </c>
      <c r="H160" t="s">
        <v>10</v>
      </c>
      <c r="I160" t="s">
        <v>37</v>
      </c>
      <c r="J160">
        <v>1</v>
      </c>
      <c r="K160" t="s">
        <v>80</v>
      </c>
      <c r="L160">
        <v>76</v>
      </c>
      <c r="M160">
        <v>39</v>
      </c>
      <c r="N160">
        <v>76</v>
      </c>
      <c r="O160">
        <v>39</v>
      </c>
      <c r="P160">
        <v>37</v>
      </c>
      <c r="Q160" s="18">
        <v>0.48684210526315802</v>
      </c>
    </row>
    <row r="161" spans="1:17" x14ac:dyDescent="0.25">
      <c r="A161" s="17">
        <v>46187</v>
      </c>
      <c r="B161" t="s">
        <v>70</v>
      </c>
      <c r="C161" t="s">
        <v>51</v>
      </c>
      <c r="D161" t="s">
        <v>8</v>
      </c>
      <c r="E161" t="s">
        <v>39</v>
      </c>
      <c r="F161" t="s">
        <v>19</v>
      </c>
      <c r="G161" t="s">
        <v>10</v>
      </c>
      <c r="H161" t="s">
        <v>10</v>
      </c>
      <c r="I161" t="s">
        <v>26</v>
      </c>
      <c r="J161">
        <v>10</v>
      </c>
      <c r="K161" t="s">
        <v>82</v>
      </c>
      <c r="L161">
        <v>54</v>
      </c>
      <c r="M161">
        <v>28</v>
      </c>
      <c r="N161">
        <v>540</v>
      </c>
      <c r="O161">
        <v>280</v>
      </c>
      <c r="P161">
        <v>260</v>
      </c>
      <c r="Q161" s="18">
        <v>0.48148148148148101</v>
      </c>
    </row>
    <row r="162" spans="1:17" x14ac:dyDescent="0.25">
      <c r="A162" s="17">
        <v>46124</v>
      </c>
      <c r="B162" t="s">
        <v>38</v>
      </c>
      <c r="C162" t="s">
        <v>76</v>
      </c>
      <c r="D162" t="s">
        <v>23</v>
      </c>
      <c r="E162" t="s">
        <v>13</v>
      </c>
      <c r="F162" t="s">
        <v>19</v>
      </c>
      <c r="G162" t="s">
        <v>66</v>
      </c>
      <c r="H162" t="s">
        <v>45</v>
      </c>
      <c r="I162" t="s">
        <v>26</v>
      </c>
      <c r="J162">
        <v>15</v>
      </c>
      <c r="K162" t="s">
        <v>81</v>
      </c>
      <c r="L162">
        <v>89</v>
      </c>
      <c r="M162">
        <v>47</v>
      </c>
      <c r="N162">
        <v>1335</v>
      </c>
      <c r="O162">
        <v>705</v>
      </c>
      <c r="P162">
        <v>630</v>
      </c>
      <c r="Q162" s="18">
        <v>0.47191011235955099</v>
      </c>
    </row>
    <row r="163" spans="1:17" x14ac:dyDescent="0.25">
      <c r="A163" s="17">
        <v>46086</v>
      </c>
      <c r="B163" t="s">
        <v>17</v>
      </c>
      <c r="C163" t="s">
        <v>17</v>
      </c>
      <c r="D163" t="s">
        <v>39</v>
      </c>
      <c r="E163" t="s">
        <v>39</v>
      </c>
      <c r="F163" t="s">
        <v>14</v>
      </c>
      <c r="G163" t="s">
        <v>10</v>
      </c>
      <c r="H163" t="s">
        <v>10</v>
      </c>
      <c r="I163" t="s">
        <v>54</v>
      </c>
      <c r="J163">
        <v>3</v>
      </c>
      <c r="K163" t="s">
        <v>82</v>
      </c>
      <c r="L163">
        <v>119</v>
      </c>
      <c r="M163">
        <v>67</v>
      </c>
      <c r="N163">
        <v>357</v>
      </c>
      <c r="O163">
        <v>201</v>
      </c>
      <c r="P163">
        <v>156</v>
      </c>
      <c r="Q163" s="18">
        <v>0.436974789915966</v>
      </c>
    </row>
    <row r="164" spans="1:17" x14ac:dyDescent="0.25">
      <c r="A164" s="17">
        <v>46028</v>
      </c>
      <c r="B164" t="s">
        <v>27</v>
      </c>
      <c r="C164" t="s">
        <v>71</v>
      </c>
      <c r="D164" t="s">
        <v>23</v>
      </c>
      <c r="E164" t="s">
        <v>13</v>
      </c>
      <c r="F164" t="s">
        <v>24</v>
      </c>
      <c r="G164" t="s">
        <v>66</v>
      </c>
      <c r="H164" t="s">
        <v>45</v>
      </c>
      <c r="I164" t="s">
        <v>11</v>
      </c>
      <c r="J164">
        <v>1</v>
      </c>
      <c r="K164" t="s">
        <v>79</v>
      </c>
      <c r="L164">
        <v>76</v>
      </c>
      <c r="M164">
        <v>39</v>
      </c>
      <c r="N164">
        <v>76</v>
      </c>
      <c r="O164">
        <v>39</v>
      </c>
      <c r="P164">
        <v>37</v>
      </c>
      <c r="Q164" s="18">
        <v>0.48684210526315802</v>
      </c>
    </row>
    <row r="165" spans="1:17" x14ac:dyDescent="0.25">
      <c r="A165" s="17">
        <v>46218</v>
      </c>
      <c r="B165" t="s">
        <v>22</v>
      </c>
      <c r="C165" t="s">
        <v>51</v>
      </c>
      <c r="D165" t="s">
        <v>23</v>
      </c>
      <c r="E165" t="s">
        <v>13</v>
      </c>
      <c r="F165" t="s">
        <v>19</v>
      </c>
      <c r="G165" t="s">
        <v>34</v>
      </c>
      <c r="H165" t="s">
        <v>10</v>
      </c>
      <c r="I165" t="s">
        <v>21</v>
      </c>
      <c r="J165">
        <v>9</v>
      </c>
      <c r="K165" t="s">
        <v>81</v>
      </c>
      <c r="L165">
        <v>54</v>
      </c>
      <c r="M165">
        <v>28</v>
      </c>
      <c r="N165">
        <v>486</v>
      </c>
      <c r="O165">
        <v>252</v>
      </c>
      <c r="P165">
        <v>234</v>
      </c>
      <c r="Q165" s="18">
        <v>0.48148148148148101</v>
      </c>
    </row>
    <row r="166" spans="1:17" x14ac:dyDescent="0.25">
      <c r="A166" s="17">
        <v>46147</v>
      </c>
      <c r="B166" t="s">
        <v>42</v>
      </c>
      <c r="C166" t="s">
        <v>42</v>
      </c>
      <c r="D166" t="s">
        <v>56</v>
      </c>
      <c r="E166" t="s">
        <v>28</v>
      </c>
      <c r="F166" t="s">
        <v>9</v>
      </c>
      <c r="G166" t="s">
        <v>53</v>
      </c>
      <c r="H166" t="s">
        <v>25</v>
      </c>
      <c r="I166" t="s">
        <v>46</v>
      </c>
      <c r="J166">
        <v>13</v>
      </c>
      <c r="K166" t="s">
        <v>79</v>
      </c>
      <c r="L166">
        <v>32</v>
      </c>
      <c r="M166">
        <v>14</v>
      </c>
      <c r="N166">
        <v>416</v>
      </c>
      <c r="O166">
        <v>182</v>
      </c>
      <c r="P166">
        <v>234</v>
      </c>
      <c r="Q166" s="18">
        <v>0.5625</v>
      </c>
    </row>
    <row r="167" spans="1:17" x14ac:dyDescent="0.25">
      <c r="A167" s="17">
        <v>46187</v>
      </c>
      <c r="B167" t="s">
        <v>17</v>
      </c>
      <c r="C167" t="s">
        <v>17</v>
      </c>
      <c r="D167" t="s">
        <v>48</v>
      </c>
      <c r="E167" t="s">
        <v>48</v>
      </c>
      <c r="F167" t="s">
        <v>9</v>
      </c>
      <c r="G167" t="s">
        <v>10</v>
      </c>
      <c r="H167" t="s">
        <v>10</v>
      </c>
      <c r="I167" t="s">
        <v>58</v>
      </c>
      <c r="J167">
        <v>10</v>
      </c>
      <c r="K167" t="s">
        <v>80</v>
      </c>
      <c r="L167">
        <v>119</v>
      </c>
      <c r="M167">
        <v>67</v>
      </c>
      <c r="N167">
        <v>1190</v>
      </c>
      <c r="O167">
        <v>670</v>
      </c>
      <c r="P167">
        <v>520</v>
      </c>
      <c r="Q167" s="18">
        <v>0.436974789915966</v>
      </c>
    </row>
    <row r="168" spans="1:17" x14ac:dyDescent="0.25">
      <c r="A168" s="17">
        <v>46179</v>
      </c>
      <c r="B168" t="s">
        <v>76</v>
      </c>
      <c r="C168" t="s">
        <v>76</v>
      </c>
      <c r="D168" t="s">
        <v>39</v>
      </c>
      <c r="E168" t="s">
        <v>39</v>
      </c>
      <c r="F168" t="s">
        <v>29</v>
      </c>
      <c r="G168" t="s">
        <v>69</v>
      </c>
      <c r="H168" t="s">
        <v>69</v>
      </c>
      <c r="I168" t="s">
        <v>61</v>
      </c>
      <c r="J168">
        <v>10</v>
      </c>
      <c r="K168" t="s">
        <v>79</v>
      </c>
      <c r="L168">
        <v>89</v>
      </c>
      <c r="M168">
        <v>47</v>
      </c>
      <c r="N168">
        <v>890</v>
      </c>
      <c r="O168">
        <v>470</v>
      </c>
      <c r="P168">
        <v>420</v>
      </c>
      <c r="Q168" s="18">
        <v>0.47191011235955099</v>
      </c>
    </row>
    <row r="169" spans="1:17" x14ac:dyDescent="0.25">
      <c r="A169" s="17">
        <v>46220</v>
      </c>
      <c r="B169" t="s">
        <v>12</v>
      </c>
      <c r="C169" t="s">
        <v>65</v>
      </c>
      <c r="D169" t="s">
        <v>33</v>
      </c>
      <c r="E169" t="s">
        <v>39</v>
      </c>
      <c r="F169" t="s">
        <v>14</v>
      </c>
      <c r="G169" t="s">
        <v>40</v>
      </c>
      <c r="H169" t="s">
        <v>25</v>
      </c>
      <c r="I169" t="s">
        <v>31</v>
      </c>
      <c r="J169">
        <v>15</v>
      </c>
      <c r="K169" t="s">
        <v>80</v>
      </c>
      <c r="L169">
        <v>128</v>
      </c>
      <c r="M169">
        <v>72</v>
      </c>
      <c r="N169">
        <v>1920</v>
      </c>
      <c r="O169">
        <v>1080</v>
      </c>
      <c r="P169">
        <v>840</v>
      </c>
      <c r="Q169" s="18">
        <v>0.4375</v>
      </c>
    </row>
    <row r="170" spans="1:17" x14ac:dyDescent="0.25">
      <c r="A170" s="17">
        <v>46140</v>
      </c>
      <c r="B170" t="s">
        <v>64</v>
      </c>
      <c r="C170" t="s">
        <v>42</v>
      </c>
      <c r="D170" t="s">
        <v>52</v>
      </c>
      <c r="E170" t="s">
        <v>13</v>
      </c>
      <c r="F170" t="s">
        <v>19</v>
      </c>
      <c r="G170" t="s">
        <v>40</v>
      </c>
      <c r="H170" t="s">
        <v>25</v>
      </c>
      <c r="I170" t="s">
        <v>50</v>
      </c>
      <c r="J170">
        <v>9</v>
      </c>
      <c r="K170" t="s">
        <v>82</v>
      </c>
      <c r="L170">
        <v>32</v>
      </c>
      <c r="M170">
        <v>14</v>
      </c>
      <c r="N170">
        <v>288</v>
      </c>
      <c r="O170">
        <v>126</v>
      </c>
      <c r="P170">
        <v>162</v>
      </c>
      <c r="Q170" s="18">
        <v>0.5625</v>
      </c>
    </row>
    <row r="171" spans="1:17" x14ac:dyDescent="0.25">
      <c r="A171" s="17">
        <v>46198</v>
      </c>
      <c r="B171" t="s">
        <v>75</v>
      </c>
      <c r="C171" t="s">
        <v>62</v>
      </c>
      <c r="D171" t="s">
        <v>52</v>
      </c>
      <c r="E171" t="s">
        <v>13</v>
      </c>
      <c r="F171" t="s">
        <v>14</v>
      </c>
      <c r="G171" t="s">
        <v>15</v>
      </c>
      <c r="H171" t="s">
        <v>45</v>
      </c>
      <c r="I171" t="s">
        <v>61</v>
      </c>
      <c r="J171">
        <v>14</v>
      </c>
      <c r="K171" t="s">
        <v>81</v>
      </c>
      <c r="L171">
        <v>112</v>
      </c>
      <c r="M171">
        <v>64</v>
      </c>
      <c r="N171">
        <v>1568</v>
      </c>
      <c r="O171">
        <v>896</v>
      </c>
      <c r="P171">
        <v>672</v>
      </c>
      <c r="Q171" s="18">
        <v>0.42857142857142899</v>
      </c>
    </row>
    <row r="172" spans="1:17" x14ac:dyDescent="0.25">
      <c r="A172" s="17">
        <v>46120</v>
      </c>
      <c r="B172" t="s">
        <v>62</v>
      </c>
      <c r="C172" t="s">
        <v>62</v>
      </c>
      <c r="D172" t="s">
        <v>39</v>
      </c>
      <c r="E172" t="s">
        <v>39</v>
      </c>
      <c r="F172" t="s">
        <v>9</v>
      </c>
      <c r="G172" t="s">
        <v>34</v>
      </c>
      <c r="H172" t="s">
        <v>10</v>
      </c>
      <c r="I172" t="s">
        <v>21</v>
      </c>
      <c r="J172">
        <v>14</v>
      </c>
      <c r="K172" t="s">
        <v>82</v>
      </c>
      <c r="L172">
        <v>112</v>
      </c>
      <c r="M172">
        <v>64</v>
      </c>
      <c r="N172">
        <v>1568</v>
      </c>
      <c r="O172">
        <v>896</v>
      </c>
      <c r="P172">
        <v>672</v>
      </c>
      <c r="Q172" s="18">
        <v>0.42857142857142899</v>
      </c>
    </row>
    <row r="173" spans="1:17" x14ac:dyDescent="0.25">
      <c r="A173" s="17">
        <v>46246</v>
      </c>
      <c r="B173" t="s">
        <v>65</v>
      </c>
      <c r="C173" t="s">
        <v>65</v>
      </c>
      <c r="D173" t="s">
        <v>8</v>
      </c>
      <c r="E173" t="s">
        <v>39</v>
      </c>
      <c r="F173" t="s">
        <v>9</v>
      </c>
      <c r="G173" t="s">
        <v>25</v>
      </c>
      <c r="H173" t="s">
        <v>25</v>
      </c>
      <c r="I173" t="s">
        <v>31</v>
      </c>
      <c r="J173">
        <v>10</v>
      </c>
      <c r="K173" t="s">
        <v>80</v>
      </c>
      <c r="L173">
        <v>128</v>
      </c>
      <c r="M173">
        <v>72</v>
      </c>
      <c r="N173">
        <v>1280</v>
      </c>
      <c r="O173">
        <v>720</v>
      </c>
      <c r="P173">
        <v>560</v>
      </c>
      <c r="Q173" s="18">
        <v>0.4375</v>
      </c>
    </row>
    <row r="174" spans="1:17" x14ac:dyDescent="0.25">
      <c r="A174" s="17">
        <v>46072</v>
      </c>
      <c r="B174" t="s">
        <v>75</v>
      </c>
      <c r="C174" t="s">
        <v>62</v>
      </c>
      <c r="D174" t="s">
        <v>52</v>
      </c>
      <c r="E174" t="s">
        <v>13</v>
      </c>
      <c r="F174" t="s">
        <v>29</v>
      </c>
      <c r="G174" t="s">
        <v>40</v>
      </c>
      <c r="H174" t="s">
        <v>25</v>
      </c>
      <c r="I174" t="s">
        <v>50</v>
      </c>
      <c r="J174">
        <v>15</v>
      </c>
      <c r="K174" t="s">
        <v>79</v>
      </c>
      <c r="L174">
        <v>112</v>
      </c>
      <c r="M174">
        <v>64</v>
      </c>
      <c r="N174">
        <v>1680</v>
      </c>
      <c r="O174">
        <v>960</v>
      </c>
      <c r="P174">
        <v>720</v>
      </c>
      <c r="Q174" s="18">
        <v>0.42857142857142899</v>
      </c>
    </row>
    <row r="175" spans="1:17" x14ac:dyDescent="0.25">
      <c r="A175" s="17">
        <v>46197</v>
      </c>
      <c r="B175" t="s">
        <v>7</v>
      </c>
      <c r="C175" t="s">
        <v>42</v>
      </c>
      <c r="D175" t="s">
        <v>23</v>
      </c>
      <c r="E175" t="s">
        <v>13</v>
      </c>
      <c r="F175" t="s">
        <v>24</v>
      </c>
      <c r="G175" t="s">
        <v>73</v>
      </c>
      <c r="H175" t="s">
        <v>57</v>
      </c>
      <c r="I175" t="s">
        <v>46</v>
      </c>
      <c r="J175">
        <v>5</v>
      </c>
      <c r="K175" t="s">
        <v>82</v>
      </c>
      <c r="L175">
        <v>32</v>
      </c>
      <c r="M175">
        <v>14</v>
      </c>
      <c r="N175">
        <v>160</v>
      </c>
      <c r="O175">
        <v>70</v>
      </c>
      <c r="P175">
        <v>90</v>
      </c>
      <c r="Q175" s="18">
        <v>0.5625</v>
      </c>
    </row>
    <row r="176" spans="1:17" x14ac:dyDescent="0.25">
      <c r="A176" s="17">
        <v>46057</v>
      </c>
      <c r="B176" t="s">
        <v>42</v>
      </c>
      <c r="C176" t="s">
        <v>42</v>
      </c>
      <c r="D176" t="s">
        <v>39</v>
      </c>
      <c r="E176" t="s">
        <v>39</v>
      </c>
      <c r="F176" t="s">
        <v>14</v>
      </c>
      <c r="G176" t="s">
        <v>73</v>
      </c>
      <c r="H176" t="s">
        <v>57</v>
      </c>
      <c r="I176" t="s">
        <v>46</v>
      </c>
      <c r="J176">
        <v>15</v>
      </c>
      <c r="K176" t="s">
        <v>79</v>
      </c>
      <c r="L176">
        <v>32</v>
      </c>
      <c r="M176">
        <v>14</v>
      </c>
      <c r="N176">
        <v>480</v>
      </c>
      <c r="O176">
        <v>210</v>
      </c>
      <c r="P176">
        <v>270</v>
      </c>
      <c r="Q176" s="18">
        <v>0.5625</v>
      </c>
    </row>
    <row r="177" spans="1:17" x14ac:dyDescent="0.25">
      <c r="A177" s="17">
        <v>46033</v>
      </c>
      <c r="B177" t="s">
        <v>65</v>
      </c>
      <c r="C177" t="s">
        <v>65</v>
      </c>
      <c r="D177" t="s">
        <v>52</v>
      </c>
      <c r="E177" t="s">
        <v>13</v>
      </c>
      <c r="F177" t="s">
        <v>9</v>
      </c>
      <c r="G177" t="s">
        <v>30</v>
      </c>
      <c r="H177" t="s">
        <v>57</v>
      </c>
      <c r="I177" t="s">
        <v>58</v>
      </c>
      <c r="J177">
        <v>13</v>
      </c>
      <c r="K177" t="s">
        <v>81</v>
      </c>
      <c r="L177">
        <v>128</v>
      </c>
      <c r="M177">
        <v>72</v>
      </c>
      <c r="N177">
        <v>1664</v>
      </c>
      <c r="O177">
        <v>936</v>
      </c>
      <c r="P177">
        <v>728</v>
      </c>
      <c r="Q177" s="18">
        <v>0.4375</v>
      </c>
    </row>
    <row r="178" spans="1:17" x14ac:dyDescent="0.25">
      <c r="A178" s="17">
        <v>46241</v>
      </c>
      <c r="B178" t="s">
        <v>75</v>
      </c>
      <c r="C178" t="s">
        <v>62</v>
      </c>
      <c r="D178" t="s">
        <v>18</v>
      </c>
      <c r="E178" t="s">
        <v>48</v>
      </c>
      <c r="F178" t="s">
        <v>29</v>
      </c>
      <c r="G178" t="s">
        <v>30</v>
      </c>
      <c r="H178" t="s">
        <v>57</v>
      </c>
      <c r="I178" t="s">
        <v>11</v>
      </c>
      <c r="J178">
        <v>9</v>
      </c>
      <c r="K178" t="s">
        <v>81</v>
      </c>
      <c r="L178">
        <v>112</v>
      </c>
      <c r="M178">
        <v>64</v>
      </c>
      <c r="N178">
        <v>1008</v>
      </c>
      <c r="O178">
        <v>576</v>
      </c>
      <c r="P178">
        <v>432</v>
      </c>
      <c r="Q178" s="18">
        <v>0.42857142857142899</v>
      </c>
    </row>
    <row r="179" spans="1:17" x14ac:dyDescent="0.25">
      <c r="A179" s="17">
        <v>46123</v>
      </c>
      <c r="B179" t="s">
        <v>7</v>
      </c>
      <c r="C179" t="s">
        <v>42</v>
      </c>
      <c r="D179" t="s">
        <v>28</v>
      </c>
      <c r="E179" t="s">
        <v>28</v>
      </c>
      <c r="F179" t="s">
        <v>9</v>
      </c>
      <c r="G179" t="s">
        <v>60</v>
      </c>
      <c r="H179" t="s">
        <v>10</v>
      </c>
      <c r="I179" t="s">
        <v>58</v>
      </c>
      <c r="J179">
        <v>9</v>
      </c>
      <c r="K179" t="s">
        <v>80</v>
      </c>
      <c r="L179">
        <v>32</v>
      </c>
      <c r="M179">
        <v>14</v>
      </c>
      <c r="N179">
        <v>288</v>
      </c>
      <c r="O179">
        <v>126</v>
      </c>
      <c r="P179">
        <v>162</v>
      </c>
      <c r="Q179" s="18">
        <v>0.5625</v>
      </c>
    </row>
    <row r="180" spans="1:17" x14ac:dyDescent="0.25">
      <c r="A180" s="17">
        <v>46026</v>
      </c>
      <c r="B180" t="s">
        <v>17</v>
      </c>
      <c r="C180" t="s">
        <v>17</v>
      </c>
      <c r="D180" t="s">
        <v>23</v>
      </c>
      <c r="E180" t="s">
        <v>13</v>
      </c>
      <c r="F180" t="s">
        <v>29</v>
      </c>
      <c r="G180" t="s">
        <v>34</v>
      </c>
      <c r="H180" t="s">
        <v>10</v>
      </c>
      <c r="I180" t="s">
        <v>61</v>
      </c>
      <c r="J180">
        <v>9</v>
      </c>
      <c r="K180" t="s">
        <v>80</v>
      </c>
      <c r="L180">
        <v>119</v>
      </c>
      <c r="M180">
        <v>67</v>
      </c>
      <c r="N180">
        <v>1071</v>
      </c>
      <c r="O180">
        <v>603</v>
      </c>
      <c r="P180">
        <v>468</v>
      </c>
      <c r="Q180" s="18">
        <v>0.436974789915966</v>
      </c>
    </row>
    <row r="181" spans="1:17" x14ac:dyDescent="0.25">
      <c r="A181" s="17">
        <v>46089</v>
      </c>
      <c r="B181" t="s">
        <v>12</v>
      </c>
      <c r="C181" t="s">
        <v>65</v>
      </c>
      <c r="D181" t="s">
        <v>39</v>
      </c>
      <c r="E181" t="s">
        <v>39</v>
      </c>
      <c r="F181" t="s">
        <v>24</v>
      </c>
      <c r="G181" t="s">
        <v>73</v>
      </c>
      <c r="H181" t="s">
        <v>57</v>
      </c>
      <c r="I181" t="s">
        <v>50</v>
      </c>
      <c r="J181">
        <v>3</v>
      </c>
      <c r="K181" t="s">
        <v>81</v>
      </c>
      <c r="L181">
        <v>128</v>
      </c>
      <c r="M181">
        <v>72</v>
      </c>
      <c r="N181">
        <v>384</v>
      </c>
      <c r="O181">
        <v>216</v>
      </c>
      <c r="P181">
        <v>168</v>
      </c>
      <c r="Q181" s="18">
        <v>0.4375</v>
      </c>
    </row>
    <row r="182" spans="1:17" x14ac:dyDescent="0.25">
      <c r="A182" s="17">
        <v>46106</v>
      </c>
      <c r="B182" t="s">
        <v>36</v>
      </c>
      <c r="C182" t="s">
        <v>62</v>
      </c>
      <c r="D182" t="s">
        <v>52</v>
      </c>
      <c r="E182" t="s">
        <v>13</v>
      </c>
      <c r="F182" t="s">
        <v>14</v>
      </c>
      <c r="G182" t="s">
        <v>40</v>
      </c>
      <c r="H182" t="s">
        <v>25</v>
      </c>
      <c r="I182" t="s">
        <v>21</v>
      </c>
      <c r="J182">
        <v>2</v>
      </c>
      <c r="K182" t="s">
        <v>82</v>
      </c>
      <c r="L182">
        <v>112</v>
      </c>
      <c r="M182">
        <v>64</v>
      </c>
      <c r="N182">
        <v>224</v>
      </c>
      <c r="O182">
        <v>128</v>
      </c>
      <c r="P182">
        <v>96</v>
      </c>
      <c r="Q182" s="18">
        <v>0.42857142857142899</v>
      </c>
    </row>
    <row r="183" spans="1:17" x14ac:dyDescent="0.25">
      <c r="A183" s="17">
        <v>46165</v>
      </c>
      <c r="B183" t="s">
        <v>27</v>
      </c>
      <c r="C183" t="s">
        <v>71</v>
      </c>
      <c r="D183" t="s">
        <v>56</v>
      </c>
      <c r="E183" t="s">
        <v>28</v>
      </c>
      <c r="F183" t="s">
        <v>19</v>
      </c>
      <c r="G183" t="s">
        <v>66</v>
      </c>
      <c r="H183" t="s">
        <v>45</v>
      </c>
      <c r="I183" t="s">
        <v>37</v>
      </c>
      <c r="J183">
        <v>6</v>
      </c>
      <c r="K183" t="s">
        <v>79</v>
      </c>
      <c r="L183">
        <v>76</v>
      </c>
      <c r="M183">
        <v>39</v>
      </c>
      <c r="N183">
        <v>456</v>
      </c>
      <c r="O183">
        <v>234</v>
      </c>
      <c r="P183">
        <v>222</v>
      </c>
      <c r="Q183" s="18">
        <v>0.48684210526315802</v>
      </c>
    </row>
    <row r="184" spans="1:17" x14ac:dyDescent="0.25">
      <c r="A184" s="17">
        <v>46153</v>
      </c>
      <c r="B184" t="s">
        <v>47</v>
      </c>
      <c r="C184" t="s">
        <v>17</v>
      </c>
      <c r="D184" t="s">
        <v>48</v>
      </c>
      <c r="E184" t="s">
        <v>48</v>
      </c>
      <c r="F184" t="s">
        <v>14</v>
      </c>
      <c r="G184" t="s">
        <v>53</v>
      </c>
      <c r="H184" t="s">
        <v>25</v>
      </c>
      <c r="I184" t="s">
        <v>31</v>
      </c>
      <c r="J184">
        <v>4</v>
      </c>
      <c r="K184" t="s">
        <v>80</v>
      </c>
      <c r="L184">
        <v>119</v>
      </c>
      <c r="M184">
        <v>67</v>
      </c>
      <c r="N184">
        <v>476</v>
      </c>
      <c r="O184">
        <v>268</v>
      </c>
      <c r="P184">
        <v>208</v>
      </c>
      <c r="Q184" s="18">
        <v>0.436974789915966</v>
      </c>
    </row>
    <row r="185" spans="1:17" x14ac:dyDescent="0.25">
      <c r="A185" s="17">
        <v>46211</v>
      </c>
      <c r="B185" t="s">
        <v>67</v>
      </c>
      <c r="C185" t="s">
        <v>17</v>
      </c>
      <c r="D185" t="s">
        <v>33</v>
      </c>
      <c r="E185" t="s">
        <v>39</v>
      </c>
      <c r="F185" t="s">
        <v>9</v>
      </c>
      <c r="G185" t="s">
        <v>40</v>
      </c>
      <c r="H185" t="s">
        <v>25</v>
      </c>
      <c r="I185" t="s">
        <v>41</v>
      </c>
      <c r="J185">
        <v>7</v>
      </c>
      <c r="K185" t="s">
        <v>80</v>
      </c>
      <c r="L185">
        <v>119</v>
      </c>
      <c r="M185">
        <v>67</v>
      </c>
      <c r="N185">
        <v>833</v>
      </c>
      <c r="O185">
        <v>469</v>
      </c>
      <c r="P185">
        <v>364</v>
      </c>
      <c r="Q185" s="18">
        <v>0.436974789915966</v>
      </c>
    </row>
    <row r="186" spans="1:17" x14ac:dyDescent="0.25">
      <c r="A186" s="17">
        <v>46084</v>
      </c>
      <c r="B186" t="s">
        <v>22</v>
      </c>
      <c r="C186" t="s">
        <v>51</v>
      </c>
      <c r="D186" t="s">
        <v>23</v>
      </c>
      <c r="E186" t="s">
        <v>13</v>
      </c>
      <c r="F186" t="s">
        <v>24</v>
      </c>
      <c r="G186" t="s">
        <v>25</v>
      </c>
      <c r="H186" t="s">
        <v>25</v>
      </c>
      <c r="I186" t="s">
        <v>54</v>
      </c>
      <c r="J186">
        <v>14</v>
      </c>
      <c r="K186" t="s">
        <v>80</v>
      </c>
      <c r="L186">
        <v>54</v>
      </c>
      <c r="M186">
        <v>28</v>
      </c>
      <c r="N186">
        <v>756</v>
      </c>
      <c r="O186">
        <v>392</v>
      </c>
      <c r="P186">
        <v>364</v>
      </c>
      <c r="Q186" s="18">
        <v>0.48148148148148101</v>
      </c>
    </row>
    <row r="187" spans="1:17" x14ac:dyDescent="0.25">
      <c r="A187" s="17">
        <v>46094</v>
      </c>
      <c r="B187" t="s">
        <v>22</v>
      </c>
      <c r="C187" t="s">
        <v>51</v>
      </c>
      <c r="D187" t="s">
        <v>56</v>
      </c>
      <c r="E187" t="s">
        <v>28</v>
      </c>
      <c r="F187" t="s">
        <v>19</v>
      </c>
      <c r="G187" t="s">
        <v>49</v>
      </c>
      <c r="H187" t="s">
        <v>69</v>
      </c>
      <c r="I187" t="s">
        <v>43</v>
      </c>
      <c r="J187">
        <v>12</v>
      </c>
      <c r="K187" t="s">
        <v>79</v>
      </c>
      <c r="L187">
        <v>54</v>
      </c>
      <c r="M187">
        <v>28</v>
      </c>
      <c r="N187">
        <v>648</v>
      </c>
      <c r="O187">
        <v>336</v>
      </c>
      <c r="P187">
        <v>312</v>
      </c>
      <c r="Q187" s="18">
        <v>0.48148148148148101</v>
      </c>
    </row>
    <row r="188" spans="1:17" x14ac:dyDescent="0.25">
      <c r="A188" s="17">
        <v>46239</v>
      </c>
      <c r="B188" t="s">
        <v>64</v>
      </c>
      <c r="C188" t="s">
        <v>42</v>
      </c>
      <c r="D188" t="s">
        <v>33</v>
      </c>
      <c r="E188" t="s">
        <v>39</v>
      </c>
      <c r="F188" t="s">
        <v>19</v>
      </c>
      <c r="G188" t="s">
        <v>40</v>
      </c>
      <c r="H188" t="s">
        <v>25</v>
      </c>
      <c r="I188" t="s">
        <v>26</v>
      </c>
      <c r="J188">
        <v>11</v>
      </c>
      <c r="K188" t="s">
        <v>80</v>
      </c>
      <c r="L188">
        <v>32</v>
      </c>
      <c r="M188">
        <v>14</v>
      </c>
      <c r="N188">
        <v>352</v>
      </c>
      <c r="O188">
        <v>154</v>
      </c>
      <c r="P188">
        <v>198</v>
      </c>
      <c r="Q188" s="18">
        <v>0.5625</v>
      </c>
    </row>
    <row r="189" spans="1:17" x14ac:dyDescent="0.25">
      <c r="A189" s="17">
        <v>46175</v>
      </c>
      <c r="B189" t="s">
        <v>67</v>
      </c>
      <c r="C189" t="s">
        <v>17</v>
      </c>
      <c r="D189" t="s">
        <v>28</v>
      </c>
      <c r="E189" t="s">
        <v>28</v>
      </c>
      <c r="F189" t="s">
        <v>29</v>
      </c>
      <c r="G189" t="s">
        <v>53</v>
      </c>
      <c r="H189" t="s">
        <v>25</v>
      </c>
      <c r="I189" t="s">
        <v>26</v>
      </c>
      <c r="J189">
        <v>4</v>
      </c>
      <c r="K189" t="s">
        <v>79</v>
      </c>
      <c r="L189">
        <v>119</v>
      </c>
      <c r="M189">
        <v>67</v>
      </c>
      <c r="N189">
        <v>476</v>
      </c>
      <c r="O189">
        <v>268</v>
      </c>
      <c r="P189">
        <v>208</v>
      </c>
      <c r="Q189" s="18">
        <v>0.436974789915966</v>
      </c>
    </row>
    <row r="190" spans="1:17" x14ac:dyDescent="0.25">
      <c r="A190" s="17">
        <v>46039</v>
      </c>
      <c r="B190" t="s">
        <v>59</v>
      </c>
      <c r="C190" t="s">
        <v>32</v>
      </c>
      <c r="D190" t="s">
        <v>39</v>
      </c>
      <c r="E190" t="s">
        <v>39</v>
      </c>
      <c r="F190" t="s">
        <v>19</v>
      </c>
      <c r="G190" t="s">
        <v>69</v>
      </c>
      <c r="H190" t="s">
        <v>69</v>
      </c>
      <c r="I190" t="s">
        <v>61</v>
      </c>
      <c r="J190">
        <v>4</v>
      </c>
      <c r="K190" t="s">
        <v>79</v>
      </c>
      <c r="L190">
        <v>105</v>
      </c>
      <c r="M190">
        <v>58</v>
      </c>
      <c r="N190">
        <v>420</v>
      </c>
      <c r="O190">
        <v>232</v>
      </c>
      <c r="P190">
        <v>188</v>
      </c>
      <c r="Q190" s="18">
        <v>0.44761904761904803</v>
      </c>
    </row>
    <row r="191" spans="1:17" x14ac:dyDescent="0.25">
      <c r="A191" s="17">
        <v>46210</v>
      </c>
      <c r="B191" t="s">
        <v>64</v>
      </c>
      <c r="C191" t="s">
        <v>42</v>
      </c>
      <c r="D191" t="s">
        <v>8</v>
      </c>
      <c r="E191" t="s">
        <v>39</v>
      </c>
      <c r="F191" t="s">
        <v>9</v>
      </c>
      <c r="G191" t="s">
        <v>25</v>
      </c>
      <c r="H191" t="s">
        <v>25</v>
      </c>
      <c r="I191" t="s">
        <v>41</v>
      </c>
      <c r="J191">
        <v>3</v>
      </c>
      <c r="K191" t="s">
        <v>80</v>
      </c>
      <c r="L191">
        <v>32</v>
      </c>
      <c r="M191">
        <v>14</v>
      </c>
      <c r="N191">
        <v>96</v>
      </c>
      <c r="O191">
        <v>42</v>
      </c>
      <c r="P191">
        <v>54</v>
      </c>
      <c r="Q191" s="18">
        <v>0.5625</v>
      </c>
    </row>
    <row r="192" spans="1:17" x14ac:dyDescent="0.25">
      <c r="A192" s="17">
        <v>46165</v>
      </c>
      <c r="B192" t="s">
        <v>75</v>
      </c>
      <c r="C192" t="s">
        <v>62</v>
      </c>
      <c r="D192" t="s">
        <v>23</v>
      </c>
      <c r="E192" t="s">
        <v>13</v>
      </c>
      <c r="F192" t="s">
        <v>14</v>
      </c>
      <c r="G192" t="s">
        <v>45</v>
      </c>
      <c r="H192" t="s">
        <v>45</v>
      </c>
      <c r="I192" t="s">
        <v>50</v>
      </c>
      <c r="J192">
        <v>15</v>
      </c>
      <c r="K192" t="s">
        <v>80</v>
      </c>
      <c r="L192">
        <v>112</v>
      </c>
      <c r="M192">
        <v>64</v>
      </c>
      <c r="N192">
        <v>1680</v>
      </c>
      <c r="O192">
        <v>960</v>
      </c>
      <c r="P192">
        <v>720</v>
      </c>
      <c r="Q192" s="18">
        <v>0.42857142857142899</v>
      </c>
    </row>
    <row r="193" spans="1:17" x14ac:dyDescent="0.25">
      <c r="A193" s="17">
        <v>46072</v>
      </c>
      <c r="B193" t="s">
        <v>63</v>
      </c>
      <c r="C193" t="s">
        <v>76</v>
      </c>
      <c r="D193" t="s">
        <v>56</v>
      </c>
      <c r="E193" t="s">
        <v>28</v>
      </c>
      <c r="F193" t="s">
        <v>24</v>
      </c>
      <c r="G193" t="s">
        <v>57</v>
      </c>
      <c r="H193" t="s">
        <v>57</v>
      </c>
      <c r="I193" t="s">
        <v>50</v>
      </c>
      <c r="J193">
        <v>9</v>
      </c>
      <c r="K193" t="s">
        <v>80</v>
      </c>
      <c r="L193">
        <v>89</v>
      </c>
      <c r="M193">
        <v>47</v>
      </c>
      <c r="N193">
        <v>801</v>
      </c>
      <c r="O193">
        <v>423</v>
      </c>
      <c r="P193">
        <v>378</v>
      </c>
      <c r="Q193" s="18">
        <v>0.47191011235955099</v>
      </c>
    </row>
    <row r="194" spans="1:17" x14ac:dyDescent="0.25">
      <c r="A194" s="17">
        <v>46118</v>
      </c>
      <c r="B194" t="s">
        <v>44</v>
      </c>
      <c r="C194" t="s">
        <v>65</v>
      </c>
      <c r="D194" t="s">
        <v>18</v>
      </c>
      <c r="E194" t="s">
        <v>48</v>
      </c>
      <c r="F194" t="s">
        <v>24</v>
      </c>
      <c r="G194" t="s">
        <v>40</v>
      </c>
      <c r="H194" t="s">
        <v>25</v>
      </c>
      <c r="I194" t="s">
        <v>31</v>
      </c>
      <c r="J194">
        <v>12</v>
      </c>
      <c r="K194" t="s">
        <v>79</v>
      </c>
      <c r="L194">
        <v>128</v>
      </c>
      <c r="M194">
        <v>72</v>
      </c>
      <c r="N194">
        <v>1536</v>
      </c>
      <c r="O194">
        <v>864</v>
      </c>
      <c r="P194">
        <v>672</v>
      </c>
      <c r="Q194" s="18">
        <v>0.4375</v>
      </c>
    </row>
    <row r="195" spans="1:17" x14ac:dyDescent="0.25">
      <c r="A195" s="17">
        <v>46105</v>
      </c>
      <c r="B195" t="s">
        <v>75</v>
      </c>
      <c r="C195" t="s">
        <v>62</v>
      </c>
      <c r="D195" t="s">
        <v>18</v>
      </c>
      <c r="E195" t="s">
        <v>48</v>
      </c>
      <c r="F195" t="s">
        <v>24</v>
      </c>
      <c r="G195" t="s">
        <v>25</v>
      </c>
      <c r="H195" t="s">
        <v>25</v>
      </c>
      <c r="I195" t="s">
        <v>21</v>
      </c>
      <c r="J195">
        <v>5</v>
      </c>
      <c r="K195" t="s">
        <v>81</v>
      </c>
      <c r="L195">
        <v>112</v>
      </c>
      <c r="M195">
        <v>64</v>
      </c>
      <c r="N195">
        <v>560</v>
      </c>
      <c r="O195">
        <v>320</v>
      </c>
      <c r="P195">
        <v>240</v>
      </c>
      <c r="Q195" s="18">
        <v>0.42857142857142899</v>
      </c>
    </row>
    <row r="196" spans="1:17" x14ac:dyDescent="0.25">
      <c r="A196" s="17">
        <v>46117</v>
      </c>
      <c r="B196" t="s">
        <v>27</v>
      </c>
      <c r="C196" t="s">
        <v>71</v>
      </c>
      <c r="D196" t="s">
        <v>8</v>
      </c>
      <c r="E196" t="s">
        <v>39</v>
      </c>
      <c r="F196" t="s">
        <v>14</v>
      </c>
      <c r="G196" t="s">
        <v>10</v>
      </c>
      <c r="H196" t="s">
        <v>10</v>
      </c>
      <c r="I196" t="s">
        <v>46</v>
      </c>
      <c r="J196">
        <v>4</v>
      </c>
      <c r="K196" t="s">
        <v>82</v>
      </c>
      <c r="L196">
        <v>76</v>
      </c>
      <c r="M196">
        <v>39</v>
      </c>
      <c r="N196">
        <v>304</v>
      </c>
      <c r="O196">
        <v>156</v>
      </c>
      <c r="P196">
        <v>148</v>
      </c>
      <c r="Q196" s="18">
        <v>0.48684210526315802</v>
      </c>
    </row>
    <row r="197" spans="1:17" x14ac:dyDescent="0.25">
      <c r="A197" s="17">
        <v>46223</v>
      </c>
      <c r="B197" t="s">
        <v>38</v>
      </c>
      <c r="C197" t="s">
        <v>76</v>
      </c>
      <c r="D197" t="s">
        <v>28</v>
      </c>
      <c r="E197" t="s">
        <v>28</v>
      </c>
      <c r="F197" t="s">
        <v>24</v>
      </c>
      <c r="G197" t="s">
        <v>53</v>
      </c>
      <c r="H197" t="s">
        <v>25</v>
      </c>
      <c r="I197" t="s">
        <v>35</v>
      </c>
      <c r="J197">
        <v>10</v>
      </c>
      <c r="K197" t="s">
        <v>80</v>
      </c>
      <c r="L197">
        <v>89</v>
      </c>
      <c r="M197">
        <v>47</v>
      </c>
      <c r="N197">
        <v>890</v>
      </c>
      <c r="O197">
        <v>470</v>
      </c>
      <c r="P197">
        <v>420</v>
      </c>
      <c r="Q197" s="18">
        <v>0.47191011235955099</v>
      </c>
    </row>
    <row r="198" spans="1:17" x14ac:dyDescent="0.25">
      <c r="A198" s="17">
        <v>46221</v>
      </c>
      <c r="B198" t="s">
        <v>70</v>
      </c>
      <c r="C198" t="s">
        <v>51</v>
      </c>
      <c r="D198" t="s">
        <v>68</v>
      </c>
      <c r="E198" t="s">
        <v>48</v>
      </c>
      <c r="F198" t="s">
        <v>19</v>
      </c>
      <c r="G198" t="s">
        <v>57</v>
      </c>
      <c r="H198" t="s">
        <v>57</v>
      </c>
      <c r="I198" t="s">
        <v>21</v>
      </c>
      <c r="J198">
        <v>4</v>
      </c>
      <c r="K198" t="s">
        <v>82</v>
      </c>
      <c r="L198">
        <v>54</v>
      </c>
      <c r="M198">
        <v>28</v>
      </c>
      <c r="N198">
        <v>216</v>
      </c>
      <c r="O198">
        <v>112</v>
      </c>
      <c r="P198">
        <v>104</v>
      </c>
      <c r="Q198" s="18">
        <v>0.48148148148148101</v>
      </c>
    </row>
    <row r="199" spans="1:17" x14ac:dyDescent="0.25">
      <c r="A199" s="17">
        <v>46248</v>
      </c>
      <c r="B199" t="s">
        <v>36</v>
      </c>
      <c r="C199" t="s">
        <v>62</v>
      </c>
      <c r="D199" t="s">
        <v>23</v>
      </c>
      <c r="E199" t="s">
        <v>13</v>
      </c>
      <c r="F199" t="s">
        <v>29</v>
      </c>
      <c r="G199" t="s">
        <v>34</v>
      </c>
      <c r="H199" t="s">
        <v>10</v>
      </c>
      <c r="I199" t="s">
        <v>31</v>
      </c>
      <c r="J199">
        <v>1</v>
      </c>
      <c r="K199" t="s">
        <v>79</v>
      </c>
      <c r="L199">
        <v>112</v>
      </c>
      <c r="M199">
        <v>64</v>
      </c>
      <c r="N199">
        <v>112</v>
      </c>
      <c r="O199">
        <v>64</v>
      </c>
      <c r="P199">
        <v>48</v>
      </c>
      <c r="Q199" s="18">
        <v>0.42857142857142899</v>
      </c>
    </row>
    <row r="200" spans="1:17" x14ac:dyDescent="0.25">
      <c r="A200" s="17">
        <v>46054</v>
      </c>
      <c r="B200" t="s">
        <v>76</v>
      </c>
      <c r="C200" t="s">
        <v>76</v>
      </c>
      <c r="D200" t="s">
        <v>8</v>
      </c>
      <c r="E200" t="s">
        <v>39</v>
      </c>
      <c r="F200" t="s">
        <v>24</v>
      </c>
      <c r="G200" t="s">
        <v>10</v>
      </c>
      <c r="H200" t="s">
        <v>10</v>
      </c>
      <c r="I200" t="s">
        <v>41</v>
      </c>
      <c r="J200">
        <v>13</v>
      </c>
      <c r="K200" t="s">
        <v>80</v>
      </c>
      <c r="L200">
        <v>89</v>
      </c>
      <c r="M200">
        <v>47</v>
      </c>
      <c r="N200">
        <v>1157</v>
      </c>
      <c r="O200">
        <v>611</v>
      </c>
      <c r="P200">
        <v>546</v>
      </c>
      <c r="Q200" s="18">
        <v>0.47191011235955099</v>
      </c>
    </row>
    <row r="201" spans="1:17" x14ac:dyDescent="0.25">
      <c r="A201" s="17">
        <v>46094</v>
      </c>
      <c r="B201" t="s">
        <v>22</v>
      </c>
      <c r="C201" t="s">
        <v>51</v>
      </c>
      <c r="D201" t="s">
        <v>18</v>
      </c>
      <c r="E201" t="s">
        <v>48</v>
      </c>
      <c r="F201" t="s">
        <v>14</v>
      </c>
      <c r="G201" t="s">
        <v>34</v>
      </c>
      <c r="H201" t="s">
        <v>10</v>
      </c>
      <c r="I201" t="s">
        <v>35</v>
      </c>
      <c r="J201">
        <v>7</v>
      </c>
      <c r="K201" t="s">
        <v>80</v>
      </c>
      <c r="L201">
        <v>54</v>
      </c>
      <c r="M201">
        <v>28</v>
      </c>
      <c r="N201">
        <v>378</v>
      </c>
      <c r="O201">
        <v>196</v>
      </c>
      <c r="P201">
        <v>182</v>
      </c>
      <c r="Q201" s="18">
        <v>0.48148148148148101</v>
      </c>
    </row>
    <row r="202" spans="1:17" x14ac:dyDescent="0.25">
      <c r="A202" s="17">
        <v>46187</v>
      </c>
      <c r="B202" t="s">
        <v>42</v>
      </c>
      <c r="C202" t="s">
        <v>42</v>
      </c>
      <c r="D202" t="s">
        <v>8</v>
      </c>
      <c r="E202" t="s">
        <v>39</v>
      </c>
      <c r="F202" t="s">
        <v>14</v>
      </c>
      <c r="G202" t="s">
        <v>60</v>
      </c>
      <c r="H202" t="s">
        <v>10</v>
      </c>
      <c r="I202" t="s">
        <v>50</v>
      </c>
      <c r="J202">
        <v>10</v>
      </c>
      <c r="K202" t="s">
        <v>81</v>
      </c>
      <c r="L202">
        <v>32</v>
      </c>
      <c r="M202">
        <v>14</v>
      </c>
      <c r="N202">
        <v>320</v>
      </c>
      <c r="O202">
        <v>140</v>
      </c>
      <c r="P202">
        <v>180</v>
      </c>
      <c r="Q202" s="18">
        <v>0.5625</v>
      </c>
    </row>
    <row r="203" spans="1:17" x14ac:dyDescent="0.25">
      <c r="A203" s="17">
        <v>46047</v>
      </c>
      <c r="B203" t="s">
        <v>38</v>
      </c>
      <c r="C203" t="s">
        <v>76</v>
      </c>
      <c r="D203" t="s">
        <v>8</v>
      </c>
      <c r="E203" t="s">
        <v>39</v>
      </c>
      <c r="F203" t="s">
        <v>14</v>
      </c>
      <c r="G203" t="s">
        <v>53</v>
      </c>
      <c r="H203" t="s">
        <v>25</v>
      </c>
      <c r="I203" t="s">
        <v>61</v>
      </c>
      <c r="J203">
        <v>5</v>
      </c>
      <c r="K203" t="s">
        <v>81</v>
      </c>
      <c r="L203">
        <v>89</v>
      </c>
      <c r="M203">
        <v>47</v>
      </c>
      <c r="N203">
        <v>445</v>
      </c>
      <c r="O203">
        <v>235</v>
      </c>
      <c r="P203">
        <v>210</v>
      </c>
      <c r="Q203" s="18">
        <v>0.47191011235955099</v>
      </c>
    </row>
    <row r="204" spans="1:17" x14ac:dyDescent="0.25">
      <c r="A204" s="17">
        <v>46108</v>
      </c>
      <c r="B204" t="s">
        <v>71</v>
      </c>
      <c r="C204" t="s">
        <v>71</v>
      </c>
      <c r="D204" t="s">
        <v>13</v>
      </c>
      <c r="E204" t="s">
        <v>13</v>
      </c>
      <c r="F204" t="s">
        <v>19</v>
      </c>
      <c r="G204" t="s">
        <v>34</v>
      </c>
      <c r="H204" t="s">
        <v>10</v>
      </c>
      <c r="I204" t="s">
        <v>50</v>
      </c>
      <c r="J204">
        <v>2</v>
      </c>
      <c r="K204" t="s">
        <v>82</v>
      </c>
      <c r="L204">
        <v>76</v>
      </c>
      <c r="M204">
        <v>39</v>
      </c>
      <c r="N204">
        <v>152</v>
      </c>
      <c r="O204">
        <v>78</v>
      </c>
      <c r="P204">
        <v>74</v>
      </c>
      <c r="Q204" s="18">
        <v>0.48684210526315802</v>
      </c>
    </row>
    <row r="205" spans="1:17" x14ac:dyDescent="0.25">
      <c r="A205" s="17">
        <v>46198</v>
      </c>
      <c r="B205" t="s">
        <v>7</v>
      </c>
      <c r="C205" t="s">
        <v>42</v>
      </c>
      <c r="D205" t="s">
        <v>23</v>
      </c>
      <c r="E205" t="s">
        <v>13</v>
      </c>
      <c r="F205" t="s">
        <v>14</v>
      </c>
      <c r="G205" t="s">
        <v>60</v>
      </c>
      <c r="H205" t="s">
        <v>10</v>
      </c>
      <c r="I205" t="s">
        <v>26</v>
      </c>
      <c r="J205">
        <v>8</v>
      </c>
      <c r="K205" t="s">
        <v>80</v>
      </c>
      <c r="L205">
        <v>32</v>
      </c>
      <c r="M205">
        <v>14</v>
      </c>
      <c r="N205">
        <v>256</v>
      </c>
      <c r="O205">
        <v>112</v>
      </c>
      <c r="P205">
        <v>144</v>
      </c>
      <c r="Q205" s="18">
        <v>0.5625</v>
      </c>
    </row>
    <row r="206" spans="1:17" x14ac:dyDescent="0.25">
      <c r="A206" s="17">
        <v>46223</v>
      </c>
      <c r="B206" t="s">
        <v>62</v>
      </c>
      <c r="C206" t="s">
        <v>62</v>
      </c>
      <c r="D206" t="s">
        <v>8</v>
      </c>
      <c r="E206" t="s">
        <v>39</v>
      </c>
      <c r="F206" t="s">
        <v>14</v>
      </c>
      <c r="G206" t="s">
        <v>53</v>
      </c>
      <c r="H206" t="s">
        <v>25</v>
      </c>
      <c r="I206" t="s">
        <v>37</v>
      </c>
      <c r="J206">
        <v>4</v>
      </c>
      <c r="K206" t="s">
        <v>80</v>
      </c>
      <c r="L206">
        <v>112</v>
      </c>
      <c r="M206">
        <v>64</v>
      </c>
      <c r="N206">
        <v>448</v>
      </c>
      <c r="O206">
        <v>256</v>
      </c>
      <c r="P206">
        <v>192</v>
      </c>
      <c r="Q206" s="18">
        <v>0.42857142857142899</v>
      </c>
    </row>
    <row r="207" spans="1:17" x14ac:dyDescent="0.25">
      <c r="A207" s="17">
        <v>46046</v>
      </c>
      <c r="B207" t="s">
        <v>22</v>
      </c>
      <c r="C207" t="s">
        <v>51</v>
      </c>
      <c r="D207" t="s">
        <v>13</v>
      </c>
      <c r="E207" t="s">
        <v>13</v>
      </c>
      <c r="F207" t="s">
        <v>19</v>
      </c>
      <c r="G207" t="s">
        <v>66</v>
      </c>
      <c r="H207" t="s">
        <v>45</v>
      </c>
      <c r="I207" t="s">
        <v>37</v>
      </c>
      <c r="J207">
        <v>10</v>
      </c>
      <c r="K207" t="s">
        <v>80</v>
      </c>
      <c r="L207">
        <v>54</v>
      </c>
      <c r="M207">
        <v>28</v>
      </c>
      <c r="N207">
        <v>540</v>
      </c>
      <c r="O207">
        <v>280</v>
      </c>
      <c r="P207">
        <v>260</v>
      </c>
      <c r="Q207" s="18">
        <v>0.48148148148148101</v>
      </c>
    </row>
    <row r="208" spans="1:17" x14ac:dyDescent="0.25">
      <c r="A208" s="17">
        <v>46119</v>
      </c>
      <c r="B208" t="s">
        <v>75</v>
      </c>
      <c r="C208" t="s">
        <v>62</v>
      </c>
      <c r="D208" t="s">
        <v>28</v>
      </c>
      <c r="E208" t="s">
        <v>28</v>
      </c>
      <c r="F208" t="s">
        <v>29</v>
      </c>
      <c r="G208" t="s">
        <v>34</v>
      </c>
      <c r="H208" t="s">
        <v>10</v>
      </c>
      <c r="I208" t="s">
        <v>61</v>
      </c>
      <c r="J208">
        <v>12</v>
      </c>
      <c r="K208" t="s">
        <v>79</v>
      </c>
      <c r="L208">
        <v>112</v>
      </c>
      <c r="M208">
        <v>64</v>
      </c>
      <c r="N208">
        <v>1344</v>
      </c>
      <c r="O208">
        <v>768</v>
      </c>
      <c r="P208">
        <v>576</v>
      </c>
      <c r="Q208" s="18">
        <v>0.42857142857142899</v>
      </c>
    </row>
    <row r="209" spans="1:17" x14ac:dyDescent="0.25">
      <c r="A209" s="17">
        <v>46117</v>
      </c>
      <c r="B209" t="s">
        <v>71</v>
      </c>
      <c r="C209" t="s">
        <v>71</v>
      </c>
      <c r="D209" t="s">
        <v>39</v>
      </c>
      <c r="E209" t="s">
        <v>39</v>
      </c>
      <c r="F209" t="s">
        <v>29</v>
      </c>
      <c r="G209" t="s">
        <v>53</v>
      </c>
      <c r="H209" t="s">
        <v>25</v>
      </c>
      <c r="I209" t="s">
        <v>16</v>
      </c>
      <c r="J209">
        <v>4</v>
      </c>
      <c r="K209" t="s">
        <v>80</v>
      </c>
      <c r="L209">
        <v>76</v>
      </c>
      <c r="M209">
        <v>39</v>
      </c>
      <c r="N209">
        <v>304</v>
      </c>
      <c r="O209">
        <v>156</v>
      </c>
      <c r="P209">
        <v>148</v>
      </c>
      <c r="Q209" s="18">
        <v>0.48684210526315802</v>
      </c>
    </row>
    <row r="210" spans="1:17" x14ac:dyDescent="0.25">
      <c r="A210" s="17">
        <v>46091</v>
      </c>
      <c r="B210" t="s">
        <v>71</v>
      </c>
      <c r="C210" t="s">
        <v>71</v>
      </c>
      <c r="D210" t="s">
        <v>39</v>
      </c>
      <c r="E210" t="s">
        <v>39</v>
      </c>
      <c r="F210" t="s">
        <v>14</v>
      </c>
      <c r="G210" t="s">
        <v>40</v>
      </c>
      <c r="H210" t="s">
        <v>25</v>
      </c>
      <c r="I210" t="s">
        <v>31</v>
      </c>
      <c r="J210">
        <v>6</v>
      </c>
      <c r="K210" t="s">
        <v>81</v>
      </c>
      <c r="L210">
        <v>76</v>
      </c>
      <c r="M210">
        <v>39</v>
      </c>
      <c r="N210">
        <v>456</v>
      </c>
      <c r="O210">
        <v>234</v>
      </c>
      <c r="P210">
        <v>222</v>
      </c>
      <c r="Q210" s="18">
        <v>0.48684210526315802</v>
      </c>
    </row>
    <row r="211" spans="1:17" x14ac:dyDescent="0.25">
      <c r="A211" s="17">
        <v>46150</v>
      </c>
      <c r="B211" t="s">
        <v>36</v>
      </c>
      <c r="C211" t="s">
        <v>62</v>
      </c>
      <c r="D211" t="s">
        <v>8</v>
      </c>
      <c r="E211" t="s">
        <v>39</v>
      </c>
      <c r="F211" t="s">
        <v>19</v>
      </c>
      <c r="G211" t="s">
        <v>20</v>
      </c>
      <c r="H211" t="s">
        <v>69</v>
      </c>
      <c r="I211" t="s">
        <v>54</v>
      </c>
      <c r="J211">
        <v>4</v>
      </c>
      <c r="K211" t="s">
        <v>80</v>
      </c>
      <c r="L211">
        <v>112</v>
      </c>
      <c r="M211">
        <v>64</v>
      </c>
      <c r="N211">
        <v>448</v>
      </c>
      <c r="O211">
        <v>256</v>
      </c>
      <c r="P211">
        <v>192</v>
      </c>
      <c r="Q211" s="18">
        <v>0.42857142857142899</v>
      </c>
    </row>
    <row r="212" spans="1:17" x14ac:dyDescent="0.25">
      <c r="A212" s="17">
        <v>46181</v>
      </c>
      <c r="B212" t="s">
        <v>42</v>
      </c>
      <c r="C212" t="s">
        <v>42</v>
      </c>
      <c r="D212" t="s">
        <v>33</v>
      </c>
      <c r="E212" t="s">
        <v>39</v>
      </c>
      <c r="F212" t="s">
        <v>29</v>
      </c>
      <c r="G212" t="s">
        <v>73</v>
      </c>
      <c r="H212" t="s">
        <v>57</v>
      </c>
      <c r="I212" t="s">
        <v>16</v>
      </c>
      <c r="J212">
        <v>5</v>
      </c>
      <c r="K212" t="s">
        <v>80</v>
      </c>
      <c r="L212">
        <v>32</v>
      </c>
      <c r="M212">
        <v>14</v>
      </c>
      <c r="N212">
        <v>160</v>
      </c>
      <c r="O212">
        <v>70</v>
      </c>
      <c r="P212">
        <v>90</v>
      </c>
      <c r="Q212" s="18">
        <v>0.5625</v>
      </c>
    </row>
    <row r="213" spans="1:17" x14ac:dyDescent="0.25">
      <c r="A213" s="17">
        <v>46097</v>
      </c>
      <c r="B213" t="s">
        <v>22</v>
      </c>
      <c r="C213" t="s">
        <v>51</v>
      </c>
      <c r="D213" t="s">
        <v>23</v>
      </c>
      <c r="E213" t="s">
        <v>13</v>
      </c>
      <c r="F213" t="s">
        <v>29</v>
      </c>
      <c r="G213" t="s">
        <v>10</v>
      </c>
      <c r="H213" t="s">
        <v>10</v>
      </c>
      <c r="I213" t="s">
        <v>31</v>
      </c>
      <c r="J213">
        <v>5</v>
      </c>
      <c r="K213" t="s">
        <v>80</v>
      </c>
      <c r="L213">
        <v>54</v>
      </c>
      <c r="M213">
        <v>28</v>
      </c>
      <c r="N213">
        <v>270</v>
      </c>
      <c r="O213">
        <v>140</v>
      </c>
      <c r="P213">
        <v>130</v>
      </c>
      <c r="Q213" s="18">
        <v>0.48148148148148101</v>
      </c>
    </row>
    <row r="214" spans="1:17" x14ac:dyDescent="0.25">
      <c r="A214" s="17">
        <v>46193</v>
      </c>
      <c r="B214" t="s">
        <v>44</v>
      </c>
      <c r="C214" t="s">
        <v>65</v>
      </c>
      <c r="D214" t="s">
        <v>68</v>
      </c>
      <c r="E214" t="s">
        <v>48</v>
      </c>
      <c r="F214" t="s">
        <v>9</v>
      </c>
      <c r="G214" t="s">
        <v>73</v>
      </c>
      <c r="H214" t="s">
        <v>57</v>
      </c>
      <c r="I214" t="s">
        <v>35</v>
      </c>
      <c r="J214">
        <v>11</v>
      </c>
      <c r="K214" t="s">
        <v>79</v>
      </c>
      <c r="L214">
        <v>128</v>
      </c>
      <c r="M214">
        <v>72</v>
      </c>
      <c r="N214">
        <v>1408</v>
      </c>
      <c r="O214">
        <v>792</v>
      </c>
      <c r="P214">
        <v>616</v>
      </c>
      <c r="Q214" s="18">
        <v>0.4375</v>
      </c>
    </row>
    <row r="215" spans="1:17" x14ac:dyDescent="0.25">
      <c r="A215" s="17">
        <v>46204</v>
      </c>
      <c r="B215" t="s">
        <v>44</v>
      </c>
      <c r="C215" t="s">
        <v>65</v>
      </c>
      <c r="D215" t="s">
        <v>48</v>
      </c>
      <c r="E215" t="s">
        <v>48</v>
      </c>
      <c r="F215" t="s">
        <v>9</v>
      </c>
      <c r="G215" t="s">
        <v>45</v>
      </c>
      <c r="H215" t="s">
        <v>45</v>
      </c>
      <c r="I215" t="s">
        <v>16</v>
      </c>
      <c r="J215">
        <v>3</v>
      </c>
      <c r="K215" t="s">
        <v>79</v>
      </c>
      <c r="L215">
        <v>128</v>
      </c>
      <c r="M215">
        <v>72</v>
      </c>
      <c r="N215">
        <v>384</v>
      </c>
      <c r="O215">
        <v>216</v>
      </c>
      <c r="P215">
        <v>168</v>
      </c>
      <c r="Q215" s="18">
        <v>0.4375</v>
      </c>
    </row>
    <row r="216" spans="1:17" x14ac:dyDescent="0.25">
      <c r="A216" s="17">
        <v>46061</v>
      </c>
      <c r="B216" t="s">
        <v>63</v>
      </c>
      <c r="C216" t="s">
        <v>76</v>
      </c>
      <c r="D216" t="s">
        <v>8</v>
      </c>
      <c r="E216" t="s">
        <v>39</v>
      </c>
      <c r="F216" t="s">
        <v>29</v>
      </c>
      <c r="G216" t="s">
        <v>34</v>
      </c>
      <c r="H216" t="s">
        <v>10</v>
      </c>
      <c r="I216" t="s">
        <v>26</v>
      </c>
      <c r="J216">
        <v>4</v>
      </c>
      <c r="K216" t="s">
        <v>80</v>
      </c>
      <c r="L216">
        <v>89</v>
      </c>
      <c r="M216">
        <v>47</v>
      </c>
      <c r="N216">
        <v>356</v>
      </c>
      <c r="O216">
        <v>188</v>
      </c>
      <c r="P216">
        <v>168</v>
      </c>
      <c r="Q216" s="18">
        <v>0.47191011235955099</v>
      </c>
    </row>
    <row r="217" spans="1:17" x14ac:dyDescent="0.25">
      <c r="A217" s="17">
        <v>46187</v>
      </c>
      <c r="B217" t="s">
        <v>32</v>
      </c>
      <c r="C217" t="s">
        <v>32</v>
      </c>
      <c r="D217" t="s">
        <v>52</v>
      </c>
      <c r="E217" t="s">
        <v>13</v>
      </c>
      <c r="F217" t="s">
        <v>24</v>
      </c>
      <c r="G217" t="s">
        <v>20</v>
      </c>
      <c r="H217" t="s">
        <v>69</v>
      </c>
      <c r="I217" t="s">
        <v>58</v>
      </c>
      <c r="J217">
        <v>8</v>
      </c>
      <c r="K217" t="s">
        <v>81</v>
      </c>
      <c r="L217">
        <v>105</v>
      </c>
      <c r="M217">
        <v>58</v>
      </c>
      <c r="N217">
        <v>840</v>
      </c>
      <c r="O217">
        <v>464</v>
      </c>
      <c r="P217">
        <v>376</v>
      </c>
      <c r="Q217" s="18">
        <v>0.44761904761904803</v>
      </c>
    </row>
    <row r="218" spans="1:17" x14ac:dyDescent="0.25">
      <c r="A218" s="17">
        <v>46148</v>
      </c>
      <c r="B218" t="s">
        <v>65</v>
      </c>
      <c r="C218" t="s">
        <v>65</v>
      </c>
      <c r="D218" t="s">
        <v>18</v>
      </c>
      <c r="E218" t="s">
        <v>48</v>
      </c>
      <c r="F218" t="s">
        <v>19</v>
      </c>
      <c r="G218" t="s">
        <v>53</v>
      </c>
      <c r="H218" t="s">
        <v>25</v>
      </c>
      <c r="I218" t="s">
        <v>16</v>
      </c>
      <c r="J218">
        <v>8</v>
      </c>
      <c r="K218" t="s">
        <v>81</v>
      </c>
      <c r="L218">
        <v>128</v>
      </c>
      <c r="M218">
        <v>72</v>
      </c>
      <c r="N218">
        <v>1024</v>
      </c>
      <c r="O218">
        <v>576</v>
      </c>
      <c r="P218">
        <v>448</v>
      </c>
      <c r="Q218" s="18">
        <v>0.4375</v>
      </c>
    </row>
    <row r="219" spans="1:17" x14ac:dyDescent="0.25">
      <c r="A219" s="17">
        <v>46080</v>
      </c>
      <c r="B219" t="s">
        <v>55</v>
      </c>
      <c r="C219" t="s">
        <v>71</v>
      </c>
      <c r="D219" t="s">
        <v>33</v>
      </c>
      <c r="E219" t="s">
        <v>39</v>
      </c>
      <c r="F219" t="s">
        <v>24</v>
      </c>
      <c r="G219" t="s">
        <v>25</v>
      </c>
      <c r="H219" t="s">
        <v>25</v>
      </c>
      <c r="I219" t="s">
        <v>11</v>
      </c>
      <c r="J219">
        <v>8</v>
      </c>
      <c r="K219" t="s">
        <v>81</v>
      </c>
      <c r="L219">
        <v>76</v>
      </c>
      <c r="M219">
        <v>39</v>
      </c>
      <c r="N219">
        <v>608</v>
      </c>
      <c r="O219">
        <v>312</v>
      </c>
      <c r="P219">
        <v>296</v>
      </c>
      <c r="Q219" s="18">
        <v>0.48684210526315802</v>
      </c>
    </row>
    <row r="220" spans="1:17" x14ac:dyDescent="0.25">
      <c r="A220" s="17">
        <v>46151</v>
      </c>
      <c r="B220" t="s">
        <v>7</v>
      </c>
      <c r="C220" t="s">
        <v>42</v>
      </c>
      <c r="D220" t="s">
        <v>56</v>
      </c>
      <c r="E220" t="s">
        <v>28</v>
      </c>
      <c r="F220" t="s">
        <v>19</v>
      </c>
      <c r="G220" t="s">
        <v>40</v>
      </c>
      <c r="H220" t="s">
        <v>25</v>
      </c>
      <c r="I220" t="s">
        <v>16</v>
      </c>
      <c r="J220">
        <v>6</v>
      </c>
      <c r="K220" t="s">
        <v>80</v>
      </c>
      <c r="L220">
        <v>32</v>
      </c>
      <c r="M220">
        <v>14</v>
      </c>
      <c r="N220">
        <v>192</v>
      </c>
      <c r="O220">
        <v>84</v>
      </c>
      <c r="P220">
        <v>108</v>
      </c>
      <c r="Q220" s="18">
        <v>0.5625</v>
      </c>
    </row>
    <row r="221" spans="1:17" x14ac:dyDescent="0.25">
      <c r="A221" s="17">
        <v>46083</v>
      </c>
      <c r="B221" t="s">
        <v>55</v>
      </c>
      <c r="C221" t="s">
        <v>71</v>
      </c>
      <c r="D221" t="s">
        <v>52</v>
      </c>
      <c r="E221" t="s">
        <v>13</v>
      </c>
      <c r="F221" t="s">
        <v>14</v>
      </c>
      <c r="G221" t="s">
        <v>57</v>
      </c>
      <c r="H221" t="s">
        <v>57</v>
      </c>
      <c r="I221" t="s">
        <v>54</v>
      </c>
      <c r="J221">
        <v>4</v>
      </c>
      <c r="K221" t="s">
        <v>82</v>
      </c>
      <c r="L221">
        <v>76</v>
      </c>
      <c r="M221">
        <v>39</v>
      </c>
      <c r="N221">
        <v>304</v>
      </c>
      <c r="O221">
        <v>156</v>
      </c>
      <c r="P221">
        <v>148</v>
      </c>
      <c r="Q221" s="18">
        <v>0.48684210526315802</v>
      </c>
    </row>
    <row r="222" spans="1:17" x14ac:dyDescent="0.25">
      <c r="A222" s="17">
        <v>46245</v>
      </c>
      <c r="B222" t="s">
        <v>76</v>
      </c>
      <c r="C222" t="s">
        <v>76</v>
      </c>
      <c r="D222" t="s">
        <v>39</v>
      </c>
      <c r="E222" t="s">
        <v>39</v>
      </c>
      <c r="F222" t="s">
        <v>24</v>
      </c>
      <c r="G222" t="s">
        <v>53</v>
      </c>
      <c r="H222" t="s">
        <v>25</v>
      </c>
      <c r="I222" t="s">
        <v>50</v>
      </c>
      <c r="J222">
        <v>14</v>
      </c>
      <c r="K222" t="s">
        <v>82</v>
      </c>
      <c r="L222">
        <v>89</v>
      </c>
      <c r="M222">
        <v>47</v>
      </c>
      <c r="N222">
        <v>1246</v>
      </c>
      <c r="O222">
        <v>658</v>
      </c>
      <c r="P222">
        <v>588</v>
      </c>
      <c r="Q222" s="18">
        <v>0.47191011235955099</v>
      </c>
    </row>
    <row r="223" spans="1:17" x14ac:dyDescent="0.25">
      <c r="A223" s="17">
        <v>46052</v>
      </c>
      <c r="B223" t="s">
        <v>38</v>
      </c>
      <c r="C223" t="s">
        <v>76</v>
      </c>
      <c r="D223" t="s">
        <v>8</v>
      </c>
      <c r="E223" t="s">
        <v>39</v>
      </c>
      <c r="F223" t="s">
        <v>29</v>
      </c>
      <c r="G223" t="s">
        <v>20</v>
      </c>
      <c r="H223" t="s">
        <v>69</v>
      </c>
      <c r="I223" t="s">
        <v>35</v>
      </c>
      <c r="J223">
        <v>7</v>
      </c>
      <c r="K223" t="s">
        <v>82</v>
      </c>
      <c r="L223">
        <v>89</v>
      </c>
      <c r="M223">
        <v>47</v>
      </c>
      <c r="N223">
        <v>623</v>
      </c>
      <c r="O223">
        <v>329</v>
      </c>
      <c r="P223">
        <v>294</v>
      </c>
      <c r="Q223" s="18">
        <v>0.47191011235955099</v>
      </c>
    </row>
    <row r="224" spans="1:17" x14ac:dyDescent="0.25">
      <c r="A224" s="17">
        <v>46141</v>
      </c>
      <c r="B224" t="s">
        <v>62</v>
      </c>
      <c r="C224" t="s">
        <v>62</v>
      </c>
      <c r="D224" t="s">
        <v>8</v>
      </c>
      <c r="E224" t="s">
        <v>39</v>
      </c>
      <c r="F224" t="s">
        <v>14</v>
      </c>
      <c r="G224" t="s">
        <v>73</v>
      </c>
      <c r="H224" t="s">
        <v>57</v>
      </c>
      <c r="I224" t="s">
        <v>37</v>
      </c>
      <c r="J224">
        <v>8</v>
      </c>
      <c r="K224" t="s">
        <v>79</v>
      </c>
      <c r="L224">
        <v>112</v>
      </c>
      <c r="M224">
        <v>64</v>
      </c>
      <c r="N224">
        <v>896</v>
      </c>
      <c r="O224">
        <v>512</v>
      </c>
      <c r="P224">
        <v>384</v>
      </c>
      <c r="Q224" s="18">
        <v>0.42857142857142899</v>
      </c>
    </row>
    <row r="225" spans="1:17" x14ac:dyDescent="0.25">
      <c r="A225" s="17">
        <v>46054</v>
      </c>
      <c r="B225" t="s">
        <v>32</v>
      </c>
      <c r="C225" t="s">
        <v>32</v>
      </c>
      <c r="D225" t="s">
        <v>39</v>
      </c>
      <c r="E225" t="s">
        <v>39</v>
      </c>
      <c r="F225" t="s">
        <v>9</v>
      </c>
      <c r="G225" t="s">
        <v>10</v>
      </c>
      <c r="H225" t="s">
        <v>10</v>
      </c>
      <c r="I225" t="s">
        <v>31</v>
      </c>
      <c r="J225">
        <v>12</v>
      </c>
      <c r="K225" t="s">
        <v>80</v>
      </c>
      <c r="L225">
        <v>105</v>
      </c>
      <c r="M225">
        <v>58</v>
      </c>
      <c r="N225">
        <v>1260</v>
      </c>
      <c r="O225">
        <v>696</v>
      </c>
      <c r="P225">
        <v>564</v>
      </c>
      <c r="Q225" s="18">
        <v>0.44761904761904803</v>
      </c>
    </row>
    <row r="226" spans="1:17" x14ac:dyDescent="0.25">
      <c r="A226" s="17">
        <v>46037</v>
      </c>
      <c r="B226" t="s">
        <v>67</v>
      </c>
      <c r="C226" t="s">
        <v>17</v>
      </c>
      <c r="D226" t="s">
        <v>39</v>
      </c>
      <c r="E226" t="s">
        <v>39</v>
      </c>
      <c r="F226" t="s">
        <v>14</v>
      </c>
      <c r="G226" t="s">
        <v>15</v>
      </c>
      <c r="H226" t="s">
        <v>45</v>
      </c>
      <c r="I226" t="s">
        <v>26</v>
      </c>
      <c r="J226">
        <v>8</v>
      </c>
      <c r="K226" t="s">
        <v>80</v>
      </c>
      <c r="L226">
        <v>119</v>
      </c>
      <c r="M226">
        <v>67</v>
      </c>
      <c r="N226">
        <v>952</v>
      </c>
      <c r="O226">
        <v>536</v>
      </c>
      <c r="P226">
        <v>416</v>
      </c>
      <c r="Q226" s="18">
        <v>0.436974789915966</v>
      </c>
    </row>
    <row r="227" spans="1:17" x14ac:dyDescent="0.25">
      <c r="A227" s="17">
        <v>46157</v>
      </c>
      <c r="B227" t="s">
        <v>59</v>
      </c>
      <c r="C227" t="s">
        <v>32</v>
      </c>
      <c r="D227" t="s">
        <v>18</v>
      </c>
      <c r="E227" t="s">
        <v>48</v>
      </c>
      <c r="F227" t="s">
        <v>19</v>
      </c>
      <c r="G227" t="s">
        <v>20</v>
      </c>
      <c r="H227" t="s">
        <v>69</v>
      </c>
      <c r="I227" t="s">
        <v>61</v>
      </c>
      <c r="J227">
        <v>11</v>
      </c>
      <c r="K227" t="s">
        <v>81</v>
      </c>
      <c r="L227">
        <v>105</v>
      </c>
      <c r="M227">
        <v>58</v>
      </c>
      <c r="N227">
        <v>1155</v>
      </c>
      <c r="O227">
        <v>638</v>
      </c>
      <c r="P227">
        <v>517</v>
      </c>
      <c r="Q227" s="18">
        <v>0.44761904761904803</v>
      </c>
    </row>
    <row r="228" spans="1:17" x14ac:dyDescent="0.25">
      <c r="A228" s="17">
        <v>46239</v>
      </c>
      <c r="B228" t="s">
        <v>27</v>
      </c>
      <c r="C228" t="s">
        <v>71</v>
      </c>
      <c r="D228" t="s">
        <v>56</v>
      </c>
      <c r="E228" t="s">
        <v>28</v>
      </c>
      <c r="F228" t="s">
        <v>14</v>
      </c>
      <c r="G228" t="s">
        <v>53</v>
      </c>
      <c r="H228" t="s">
        <v>25</v>
      </c>
      <c r="I228" t="s">
        <v>58</v>
      </c>
      <c r="J228">
        <v>2</v>
      </c>
      <c r="K228" t="s">
        <v>82</v>
      </c>
      <c r="L228">
        <v>76</v>
      </c>
      <c r="M228">
        <v>39</v>
      </c>
      <c r="N228">
        <v>152</v>
      </c>
      <c r="O228">
        <v>78</v>
      </c>
      <c r="P228">
        <v>74</v>
      </c>
      <c r="Q228" s="18">
        <v>0.48684210526315802</v>
      </c>
    </row>
    <row r="229" spans="1:17" x14ac:dyDescent="0.25">
      <c r="A229" s="17">
        <v>46124</v>
      </c>
      <c r="B229" t="s">
        <v>17</v>
      </c>
      <c r="C229" t="s">
        <v>17</v>
      </c>
      <c r="D229" t="s">
        <v>33</v>
      </c>
      <c r="E229" t="s">
        <v>39</v>
      </c>
      <c r="F229" t="s">
        <v>29</v>
      </c>
      <c r="G229" t="s">
        <v>45</v>
      </c>
      <c r="H229" t="s">
        <v>45</v>
      </c>
      <c r="I229" t="s">
        <v>35</v>
      </c>
      <c r="J229">
        <v>7</v>
      </c>
      <c r="K229" t="s">
        <v>79</v>
      </c>
      <c r="L229">
        <v>119</v>
      </c>
      <c r="M229">
        <v>67</v>
      </c>
      <c r="N229">
        <v>833</v>
      </c>
      <c r="O229">
        <v>469</v>
      </c>
      <c r="P229">
        <v>364</v>
      </c>
      <c r="Q229" s="18">
        <v>0.436974789915966</v>
      </c>
    </row>
    <row r="230" spans="1:17" x14ac:dyDescent="0.25">
      <c r="A230" s="17">
        <v>46061</v>
      </c>
      <c r="B230" t="s">
        <v>17</v>
      </c>
      <c r="C230" t="s">
        <v>17</v>
      </c>
      <c r="D230" t="s">
        <v>33</v>
      </c>
      <c r="E230" t="s">
        <v>39</v>
      </c>
      <c r="F230" t="s">
        <v>24</v>
      </c>
      <c r="G230" t="s">
        <v>53</v>
      </c>
      <c r="H230" t="s">
        <v>25</v>
      </c>
      <c r="I230" t="s">
        <v>31</v>
      </c>
      <c r="J230">
        <v>1</v>
      </c>
      <c r="K230" t="s">
        <v>82</v>
      </c>
      <c r="L230">
        <v>119</v>
      </c>
      <c r="M230">
        <v>67</v>
      </c>
      <c r="N230">
        <v>119</v>
      </c>
      <c r="O230">
        <v>67</v>
      </c>
      <c r="P230">
        <v>52</v>
      </c>
      <c r="Q230" s="18">
        <v>0.436974789915966</v>
      </c>
    </row>
    <row r="231" spans="1:17" x14ac:dyDescent="0.25">
      <c r="A231" s="17">
        <v>46090</v>
      </c>
      <c r="B231" t="s">
        <v>7</v>
      </c>
      <c r="C231" t="s">
        <v>42</v>
      </c>
      <c r="D231" t="s">
        <v>72</v>
      </c>
      <c r="E231" t="s">
        <v>28</v>
      </c>
      <c r="F231" t="s">
        <v>24</v>
      </c>
      <c r="G231" t="s">
        <v>20</v>
      </c>
      <c r="H231" t="s">
        <v>69</v>
      </c>
      <c r="I231" t="s">
        <v>43</v>
      </c>
      <c r="J231">
        <v>11</v>
      </c>
      <c r="K231" t="s">
        <v>81</v>
      </c>
      <c r="L231">
        <v>32</v>
      </c>
      <c r="M231">
        <v>14</v>
      </c>
      <c r="N231">
        <v>352</v>
      </c>
      <c r="O231">
        <v>154</v>
      </c>
      <c r="P231">
        <v>198</v>
      </c>
      <c r="Q231" s="18">
        <v>0.5625</v>
      </c>
    </row>
    <row r="232" spans="1:17" x14ac:dyDescent="0.25">
      <c r="A232" s="17">
        <v>46182</v>
      </c>
      <c r="B232" t="s">
        <v>75</v>
      </c>
      <c r="C232" t="s">
        <v>62</v>
      </c>
      <c r="D232" t="s">
        <v>23</v>
      </c>
      <c r="E232" t="s">
        <v>13</v>
      </c>
      <c r="F232" t="s">
        <v>14</v>
      </c>
      <c r="G232" t="s">
        <v>49</v>
      </c>
      <c r="H232" t="s">
        <v>69</v>
      </c>
      <c r="I232" t="s">
        <v>21</v>
      </c>
      <c r="J232">
        <v>14</v>
      </c>
      <c r="K232" t="s">
        <v>79</v>
      </c>
      <c r="L232">
        <v>112</v>
      </c>
      <c r="M232">
        <v>64</v>
      </c>
      <c r="N232">
        <v>1568</v>
      </c>
      <c r="O232">
        <v>896</v>
      </c>
      <c r="P232">
        <v>672</v>
      </c>
      <c r="Q232" s="18">
        <v>0.42857142857142899</v>
      </c>
    </row>
    <row r="233" spans="1:17" x14ac:dyDescent="0.25">
      <c r="A233" s="17">
        <v>46120</v>
      </c>
      <c r="B233" t="s">
        <v>47</v>
      </c>
      <c r="C233" t="s">
        <v>17</v>
      </c>
      <c r="D233" t="s">
        <v>39</v>
      </c>
      <c r="E233" t="s">
        <v>39</v>
      </c>
      <c r="F233" t="s">
        <v>14</v>
      </c>
      <c r="G233" t="s">
        <v>40</v>
      </c>
      <c r="H233" t="s">
        <v>25</v>
      </c>
      <c r="I233" t="s">
        <v>21</v>
      </c>
      <c r="J233">
        <v>4</v>
      </c>
      <c r="K233" t="s">
        <v>81</v>
      </c>
      <c r="L233">
        <v>119</v>
      </c>
      <c r="M233">
        <v>67</v>
      </c>
      <c r="N233">
        <v>476</v>
      </c>
      <c r="O233">
        <v>268</v>
      </c>
      <c r="P233">
        <v>208</v>
      </c>
      <c r="Q233" s="18">
        <v>0.436974789915966</v>
      </c>
    </row>
    <row r="234" spans="1:17" x14ac:dyDescent="0.25">
      <c r="A234" s="17">
        <v>46148</v>
      </c>
      <c r="B234" t="s">
        <v>71</v>
      </c>
      <c r="C234" t="s">
        <v>71</v>
      </c>
      <c r="D234" t="s">
        <v>8</v>
      </c>
      <c r="E234" t="s">
        <v>39</v>
      </c>
      <c r="F234" t="s">
        <v>24</v>
      </c>
      <c r="G234" t="s">
        <v>34</v>
      </c>
      <c r="H234" t="s">
        <v>10</v>
      </c>
      <c r="I234" t="s">
        <v>46</v>
      </c>
      <c r="J234">
        <v>5</v>
      </c>
      <c r="K234" t="s">
        <v>80</v>
      </c>
      <c r="L234">
        <v>76</v>
      </c>
      <c r="M234">
        <v>39</v>
      </c>
      <c r="N234">
        <v>380</v>
      </c>
      <c r="O234">
        <v>195</v>
      </c>
      <c r="P234">
        <v>185</v>
      </c>
      <c r="Q234" s="18">
        <v>0.48684210526315802</v>
      </c>
    </row>
    <row r="235" spans="1:17" x14ac:dyDescent="0.25">
      <c r="A235" s="17">
        <v>46228</v>
      </c>
      <c r="B235" t="s">
        <v>65</v>
      </c>
      <c r="C235" t="s">
        <v>65</v>
      </c>
      <c r="D235" t="s">
        <v>33</v>
      </c>
      <c r="E235" t="s">
        <v>39</v>
      </c>
      <c r="F235" t="s">
        <v>14</v>
      </c>
      <c r="G235" t="s">
        <v>10</v>
      </c>
      <c r="H235" t="s">
        <v>10</v>
      </c>
      <c r="I235" t="s">
        <v>11</v>
      </c>
      <c r="J235">
        <v>5</v>
      </c>
      <c r="K235" t="s">
        <v>82</v>
      </c>
      <c r="L235">
        <v>128</v>
      </c>
      <c r="M235">
        <v>72</v>
      </c>
      <c r="N235">
        <v>640</v>
      </c>
      <c r="O235">
        <v>360</v>
      </c>
      <c r="P235">
        <v>280</v>
      </c>
      <c r="Q235" s="18">
        <v>0.4375</v>
      </c>
    </row>
    <row r="236" spans="1:17" x14ac:dyDescent="0.25">
      <c r="A236" s="17">
        <v>46185</v>
      </c>
      <c r="B236" t="s">
        <v>7</v>
      </c>
      <c r="C236" t="s">
        <v>42</v>
      </c>
      <c r="D236" t="s">
        <v>39</v>
      </c>
      <c r="E236" t="s">
        <v>39</v>
      </c>
      <c r="F236" t="s">
        <v>29</v>
      </c>
      <c r="G236" t="s">
        <v>53</v>
      </c>
      <c r="H236" t="s">
        <v>25</v>
      </c>
      <c r="I236" t="s">
        <v>31</v>
      </c>
      <c r="J236">
        <v>15</v>
      </c>
      <c r="K236" t="s">
        <v>79</v>
      </c>
      <c r="L236">
        <v>32</v>
      </c>
      <c r="M236">
        <v>14</v>
      </c>
      <c r="N236">
        <v>480</v>
      </c>
      <c r="O236">
        <v>210</v>
      </c>
      <c r="P236">
        <v>270</v>
      </c>
      <c r="Q236" s="18">
        <v>0.5625</v>
      </c>
    </row>
    <row r="237" spans="1:17" x14ac:dyDescent="0.25">
      <c r="A237" s="17">
        <v>46194</v>
      </c>
      <c r="B237" t="s">
        <v>27</v>
      </c>
      <c r="C237" t="s">
        <v>71</v>
      </c>
      <c r="D237" t="s">
        <v>39</v>
      </c>
      <c r="E237" t="s">
        <v>39</v>
      </c>
      <c r="F237" t="s">
        <v>14</v>
      </c>
      <c r="G237" t="s">
        <v>10</v>
      </c>
      <c r="H237" t="s">
        <v>10</v>
      </c>
      <c r="I237" t="s">
        <v>31</v>
      </c>
      <c r="J237">
        <v>14</v>
      </c>
      <c r="K237" t="s">
        <v>80</v>
      </c>
      <c r="L237">
        <v>76</v>
      </c>
      <c r="M237">
        <v>39</v>
      </c>
      <c r="N237">
        <v>1064</v>
      </c>
      <c r="O237">
        <v>546</v>
      </c>
      <c r="P237">
        <v>518</v>
      </c>
      <c r="Q237" s="18">
        <v>0.48684210526315802</v>
      </c>
    </row>
    <row r="238" spans="1:17" x14ac:dyDescent="0.25">
      <c r="A238" s="17">
        <v>46140</v>
      </c>
      <c r="B238" t="s">
        <v>22</v>
      </c>
      <c r="C238" t="s">
        <v>51</v>
      </c>
      <c r="D238" t="s">
        <v>18</v>
      </c>
      <c r="E238" t="s">
        <v>48</v>
      </c>
      <c r="F238" t="s">
        <v>24</v>
      </c>
      <c r="G238" t="s">
        <v>73</v>
      </c>
      <c r="H238" t="s">
        <v>57</v>
      </c>
      <c r="I238" t="s">
        <v>16</v>
      </c>
      <c r="J238">
        <v>6</v>
      </c>
      <c r="K238" t="s">
        <v>82</v>
      </c>
      <c r="L238">
        <v>54</v>
      </c>
      <c r="M238">
        <v>28</v>
      </c>
      <c r="N238">
        <v>324</v>
      </c>
      <c r="O238">
        <v>168</v>
      </c>
      <c r="P238">
        <v>156</v>
      </c>
      <c r="Q238" s="18">
        <v>0.48148148148148101</v>
      </c>
    </row>
    <row r="239" spans="1:17" x14ac:dyDescent="0.25">
      <c r="A239" s="17">
        <v>46216</v>
      </c>
      <c r="B239" t="s">
        <v>42</v>
      </c>
      <c r="C239" t="s">
        <v>42</v>
      </c>
      <c r="D239" t="s">
        <v>52</v>
      </c>
      <c r="E239" t="s">
        <v>13</v>
      </c>
      <c r="F239" t="s">
        <v>14</v>
      </c>
      <c r="G239" t="s">
        <v>40</v>
      </c>
      <c r="H239" t="s">
        <v>25</v>
      </c>
      <c r="I239" t="s">
        <v>61</v>
      </c>
      <c r="J239">
        <v>12</v>
      </c>
      <c r="K239" t="s">
        <v>81</v>
      </c>
      <c r="L239">
        <v>32</v>
      </c>
      <c r="M239">
        <v>14</v>
      </c>
      <c r="N239">
        <v>384</v>
      </c>
      <c r="O239">
        <v>168</v>
      </c>
      <c r="P239">
        <v>216</v>
      </c>
      <c r="Q239" s="18">
        <v>0.5625</v>
      </c>
    </row>
    <row r="240" spans="1:17" x14ac:dyDescent="0.25">
      <c r="A240" s="17">
        <v>46023</v>
      </c>
      <c r="B240" t="s">
        <v>67</v>
      </c>
      <c r="C240" t="s">
        <v>17</v>
      </c>
      <c r="D240" t="s">
        <v>13</v>
      </c>
      <c r="E240" t="s">
        <v>13</v>
      </c>
      <c r="F240" t="s">
        <v>9</v>
      </c>
      <c r="G240" t="s">
        <v>60</v>
      </c>
      <c r="H240" t="s">
        <v>10</v>
      </c>
      <c r="I240" t="s">
        <v>31</v>
      </c>
      <c r="J240">
        <v>9</v>
      </c>
      <c r="K240" t="s">
        <v>81</v>
      </c>
      <c r="L240">
        <v>119</v>
      </c>
      <c r="M240">
        <v>67</v>
      </c>
      <c r="N240">
        <v>1071</v>
      </c>
      <c r="O240">
        <v>603</v>
      </c>
      <c r="P240">
        <v>468</v>
      </c>
      <c r="Q240" s="18">
        <v>0.436974789915966</v>
      </c>
    </row>
    <row r="241" spans="1:17" x14ac:dyDescent="0.25">
      <c r="A241" s="17">
        <v>46171</v>
      </c>
      <c r="B241" t="s">
        <v>55</v>
      </c>
      <c r="C241" t="s">
        <v>71</v>
      </c>
      <c r="D241" t="s">
        <v>28</v>
      </c>
      <c r="E241" t="s">
        <v>28</v>
      </c>
      <c r="F241" t="s">
        <v>19</v>
      </c>
      <c r="G241" t="s">
        <v>53</v>
      </c>
      <c r="H241" t="s">
        <v>25</v>
      </c>
      <c r="I241" t="s">
        <v>37</v>
      </c>
      <c r="J241">
        <v>7</v>
      </c>
      <c r="K241" t="s">
        <v>80</v>
      </c>
      <c r="L241">
        <v>76</v>
      </c>
      <c r="M241">
        <v>39</v>
      </c>
      <c r="N241">
        <v>532</v>
      </c>
      <c r="O241">
        <v>273</v>
      </c>
      <c r="P241">
        <v>259</v>
      </c>
      <c r="Q241" s="18">
        <v>0.48684210526315802</v>
      </c>
    </row>
    <row r="242" spans="1:17" x14ac:dyDescent="0.25">
      <c r="A242" s="17">
        <v>46066</v>
      </c>
      <c r="B242" t="s">
        <v>36</v>
      </c>
      <c r="C242" t="s">
        <v>62</v>
      </c>
      <c r="D242" t="s">
        <v>52</v>
      </c>
      <c r="E242" t="s">
        <v>13</v>
      </c>
      <c r="F242" t="s">
        <v>24</v>
      </c>
      <c r="G242" t="s">
        <v>40</v>
      </c>
      <c r="H242" t="s">
        <v>25</v>
      </c>
      <c r="I242" t="s">
        <v>58</v>
      </c>
      <c r="J242">
        <v>13</v>
      </c>
      <c r="K242" t="s">
        <v>81</v>
      </c>
      <c r="L242">
        <v>112</v>
      </c>
      <c r="M242">
        <v>64</v>
      </c>
      <c r="N242">
        <v>1456</v>
      </c>
      <c r="O242">
        <v>832</v>
      </c>
      <c r="P242">
        <v>624</v>
      </c>
      <c r="Q242" s="18">
        <v>0.42857142857142899</v>
      </c>
    </row>
    <row r="243" spans="1:17" x14ac:dyDescent="0.25">
      <c r="A243" s="17">
        <v>46147</v>
      </c>
      <c r="B243" t="s">
        <v>38</v>
      </c>
      <c r="C243" t="s">
        <v>76</v>
      </c>
      <c r="D243" t="s">
        <v>28</v>
      </c>
      <c r="E243" t="s">
        <v>28</v>
      </c>
      <c r="F243" t="s">
        <v>19</v>
      </c>
      <c r="G243" t="s">
        <v>60</v>
      </c>
      <c r="H243" t="s">
        <v>10</v>
      </c>
      <c r="I243" t="s">
        <v>31</v>
      </c>
      <c r="J243">
        <v>8</v>
      </c>
      <c r="K243" t="s">
        <v>79</v>
      </c>
      <c r="L243">
        <v>89</v>
      </c>
      <c r="M243">
        <v>47</v>
      </c>
      <c r="N243">
        <v>712</v>
      </c>
      <c r="O243">
        <v>376</v>
      </c>
      <c r="P243">
        <v>336</v>
      </c>
      <c r="Q243" s="18">
        <v>0.47191011235955099</v>
      </c>
    </row>
    <row r="244" spans="1:17" x14ac:dyDescent="0.25">
      <c r="A244" s="17">
        <v>46041</v>
      </c>
      <c r="B244" t="s">
        <v>22</v>
      </c>
      <c r="C244" t="s">
        <v>51</v>
      </c>
      <c r="D244" t="s">
        <v>8</v>
      </c>
      <c r="E244" t="s">
        <v>39</v>
      </c>
      <c r="F244" t="s">
        <v>9</v>
      </c>
      <c r="G244" t="s">
        <v>20</v>
      </c>
      <c r="H244" t="s">
        <v>69</v>
      </c>
      <c r="I244" t="s">
        <v>26</v>
      </c>
      <c r="J244">
        <v>6</v>
      </c>
      <c r="K244" t="s">
        <v>81</v>
      </c>
      <c r="L244">
        <v>54</v>
      </c>
      <c r="M244">
        <v>28</v>
      </c>
      <c r="N244">
        <v>324</v>
      </c>
      <c r="O244">
        <v>168</v>
      </c>
      <c r="P244">
        <v>156</v>
      </c>
      <c r="Q244" s="18">
        <v>0.48148148148148101</v>
      </c>
    </row>
    <row r="245" spans="1:17" x14ac:dyDescent="0.25">
      <c r="A245" s="17">
        <v>46224</v>
      </c>
      <c r="B245" t="s">
        <v>32</v>
      </c>
      <c r="C245" t="s">
        <v>32</v>
      </c>
      <c r="D245" t="s">
        <v>39</v>
      </c>
      <c r="E245" t="s">
        <v>39</v>
      </c>
      <c r="F245" t="s">
        <v>29</v>
      </c>
      <c r="G245" t="s">
        <v>20</v>
      </c>
      <c r="H245" t="s">
        <v>69</v>
      </c>
      <c r="I245" t="s">
        <v>31</v>
      </c>
      <c r="J245">
        <v>13</v>
      </c>
      <c r="K245" t="s">
        <v>79</v>
      </c>
      <c r="L245">
        <v>105</v>
      </c>
      <c r="M245">
        <v>58</v>
      </c>
      <c r="N245">
        <v>1365</v>
      </c>
      <c r="O245">
        <v>754</v>
      </c>
      <c r="P245">
        <v>611</v>
      </c>
      <c r="Q245" s="18">
        <v>0.44761904761904803</v>
      </c>
    </row>
    <row r="246" spans="1:17" x14ac:dyDescent="0.25">
      <c r="A246" s="17">
        <v>46203</v>
      </c>
      <c r="B246" t="s">
        <v>71</v>
      </c>
      <c r="C246" t="s">
        <v>71</v>
      </c>
      <c r="D246" t="s">
        <v>39</v>
      </c>
      <c r="E246" t="s">
        <v>39</v>
      </c>
      <c r="F246" t="s">
        <v>29</v>
      </c>
      <c r="G246" t="s">
        <v>25</v>
      </c>
      <c r="H246" t="s">
        <v>25</v>
      </c>
      <c r="I246" t="s">
        <v>31</v>
      </c>
      <c r="J246">
        <v>7</v>
      </c>
      <c r="K246" t="s">
        <v>79</v>
      </c>
      <c r="L246">
        <v>76</v>
      </c>
      <c r="M246">
        <v>39</v>
      </c>
      <c r="N246">
        <v>532</v>
      </c>
      <c r="O246">
        <v>273</v>
      </c>
      <c r="P246">
        <v>259</v>
      </c>
      <c r="Q246" s="18">
        <v>0.48684210526315802</v>
      </c>
    </row>
    <row r="247" spans="1:17" x14ac:dyDescent="0.25">
      <c r="A247" s="17">
        <v>46244</v>
      </c>
      <c r="B247" t="s">
        <v>32</v>
      </c>
      <c r="C247" t="s">
        <v>32</v>
      </c>
      <c r="D247" t="s">
        <v>48</v>
      </c>
      <c r="E247" t="s">
        <v>48</v>
      </c>
      <c r="F247" t="s">
        <v>29</v>
      </c>
      <c r="G247" t="s">
        <v>49</v>
      </c>
      <c r="H247" t="s">
        <v>69</v>
      </c>
      <c r="I247" t="s">
        <v>21</v>
      </c>
      <c r="J247">
        <v>9</v>
      </c>
      <c r="K247" t="s">
        <v>79</v>
      </c>
      <c r="L247">
        <v>105</v>
      </c>
      <c r="M247">
        <v>58</v>
      </c>
      <c r="N247">
        <v>945</v>
      </c>
      <c r="O247">
        <v>522</v>
      </c>
      <c r="P247">
        <v>423</v>
      </c>
      <c r="Q247" s="18">
        <v>0.44761904761904803</v>
      </c>
    </row>
    <row r="248" spans="1:17" x14ac:dyDescent="0.25">
      <c r="A248" s="17">
        <v>46122</v>
      </c>
      <c r="B248" t="s">
        <v>42</v>
      </c>
      <c r="C248" t="s">
        <v>42</v>
      </c>
      <c r="D248" t="s">
        <v>56</v>
      </c>
      <c r="E248" t="s">
        <v>28</v>
      </c>
      <c r="F248" t="s">
        <v>14</v>
      </c>
      <c r="G248" t="s">
        <v>15</v>
      </c>
      <c r="H248" t="s">
        <v>45</v>
      </c>
      <c r="I248" t="s">
        <v>54</v>
      </c>
      <c r="J248">
        <v>3</v>
      </c>
      <c r="K248" t="s">
        <v>79</v>
      </c>
      <c r="L248">
        <v>32</v>
      </c>
      <c r="M248">
        <v>14</v>
      </c>
      <c r="N248">
        <v>96</v>
      </c>
      <c r="O248">
        <v>42</v>
      </c>
      <c r="P248">
        <v>54</v>
      </c>
      <c r="Q248" s="18">
        <v>0.5625</v>
      </c>
    </row>
    <row r="249" spans="1:17" x14ac:dyDescent="0.25">
      <c r="A249" s="17">
        <v>46180</v>
      </c>
      <c r="B249" t="s">
        <v>38</v>
      </c>
      <c r="C249" t="s">
        <v>76</v>
      </c>
      <c r="D249" t="s">
        <v>68</v>
      </c>
      <c r="E249" t="s">
        <v>48</v>
      </c>
      <c r="F249" t="s">
        <v>29</v>
      </c>
      <c r="G249" t="s">
        <v>57</v>
      </c>
      <c r="H249" t="s">
        <v>57</v>
      </c>
      <c r="I249" t="s">
        <v>26</v>
      </c>
      <c r="J249">
        <v>11</v>
      </c>
      <c r="K249" t="s">
        <v>82</v>
      </c>
      <c r="L249">
        <v>89</v>
      </c>
      <c r="M249">
        <v>47</v>
      </c>
      <c r="N249">
        <v>979</v>
      </c>
      <c r="O249">
        <v>517</v>
      </c>
      <c r="P249">
        <v>462</v>
      </c>
      <c r="Q249" s="18">
        <v>0.47191011235955099</v>
      </c>
    </row>
    <row r="250" spans="1:17" x14ac:dyDescent="0.25">
      <c r="A250" s="17">
        <v>46200</v>
      </c>
      <c r="B250" t="s">
        <v>12</v>
      </c>
      <c r="C250" t="s">
        <v>65</v>
      </c>
      <c r="D250" t="s">
        <v>13</v>
      </c>
      <c r="E250" t="s">
        <v>13</v>
      </c>
      <c r="F250" t="s">
        <v>29</v>
      </c>
      <c r="G250" t="s">
        <v>10</v>
      </c>
      <c r="H250" t="s">
        <v>10</v>
      </c>
      <c r="I250" t="s">
        <v>37</v>
      </c>
      <c r="J250">
        <v>15</v>
      </c>
      <c r="K250" t="s">
        <v>81</v>
      </c>
      <c r="L250">
        <v>128</v>
      </c>
      <c r="M250">
        <v>72</v>
      </c>
      <c r="N250">
        <v>1920</v>
      </c>
      <c r="O250">
        <v>1080</v>
      </c>
      <c r="P250">
        <v>840</v>
      </c>
      <c r="Q250" s="18">
        <v>0.4375</v>
      </c>
    </row>
    <row r="251" spans="1:17" x14ac:dyDescent="0.25">
      <c r="A251" s="17">
        <v>46167</v>
      </c>
      <c r="B251" t="s">
        <v>63</v>
      </c>
      <c r="C251" t="s">
        <v>76</v>
      </c>
      <c r="D251" t="s">
        <v>33</v>
      </c>
      <c r="E251" t="s">
        <v>39</v>
      </c>
      <c r="F251" t="s">
        <v>29</v>
      </c>
      <c r="G251" t="s">
        <v>25</v>
      </c>
      <c r="H251" t="s">
        <v>25</v>
      </c>
      <c r="I251" t="s">
        <v>26</v>
      </c>
      <c r="J251">
        <v>9</v>
      </c>
      <c r="K251" t="s">
        <v>80</v>
      </c>
      <c r="L251">
        <v>89</v>
      </c>
      <c r="M251">
        <v>47</v>
      </c>
      <c r="N251">
        <v>801</v>
      </c>
      <c r="O251">
        <v>423</v>
      </c>
      <c r="P251">
        <v>378</v>
      </c>
      <c r="Q251" s="18">
        <v>0.47191011235955099</v>
      </c>
    </row>
    <row r="252" spans="1:17" x14ac:dyDescent="0.25">
      <c r="A252" s="17">
        <v>46236</v>
      </c>
      <c r="B252" t="s">
        <v>76</v>
      </c>
      <c r="C252" t="s">
        <v>76</v>
      </c>
      <c r="D252" t="s">
        <v>33</v>
      </c>
      <c r="E252" t="s">
        <v>39</v>
      </c>
      <c r="F252" t="s">
        <v>19</v>
      </c>
      <c r="G252" t="s">
        <v>45</v>
      </c>
      <c r="H252" t="s">
        <v>45</v>
      </c>
      <c r="I252" t="s">
        <v>31</v>
      </c>
      <c r="J252">
        <v>1</v>
      </c>
      <c r="K252" t="s">
        <v>82</v>
      </c>
      <c r="L252">
        <v>89</v>
      </c>
      <c r="M252">
        <v>47</v>
      </c>
      <c r="N252">
        <v>89</v>
      </c>
      <c r="O252">
        <v>47</v>
      </c>
      <c r="P252">
        <v>42</v>
      </c>
      <c r="Q252" s="18">
        <v>0.47191011235955099</v>
      </c>
    </row>
    <row r="253" spans="1:17" x14ac:dyDescent="0.25">
      <c r="A253" s="17">
        <v>46152</v>
      </c>
      <c r="B253" t="s">
        <v>12</v>
      </c>
      <c r="C253" t="s">
        <v>65</v>
      </c>
      <c r="D253" t="s">
        <v>39</v>
      </c>
      <c r="E253" t="s">
        <v>39</v>
      </c>
      <c r="F253" t="s">
        <v>24</v>
      </c>
      <c r="G253" t="s">
        <v>69</v>
      </c>
      <c r="H253" t="s">
        <v>69</v>
      </c>
      <c r="I253" t="s">
        <v>37</v>
      </c>
      <c r="J253">
        <v>1</v>
      </c>
      <c r="K253" t="s">
        <v>79</v>
      </c>
      <c r="L253">
        <v>128</v>
      </c>
      <c r="M253">
        <v>72</v>
      </c>
      <c r="N253">
        <v>128</v>
      </c>
      <c r="O253">
        <v>72</v>
      </c>
      <c r="P253">
        <v>56</v>
      </c>
      <c r="Q253" s="18">
        <v>0.4375</v>
      </c>
    </row>
    <row r="254" spans="1:17" x14ac:dyDescent="0.25">
      <c r="A254" s="17">
        <v>46071</v>
      </c>
      <c r="B254" t="s">
        <v>59</v>
      </c>
      <c r="C254" t="s">
        <v>32</v>
      </c>
      <c r="D254" t="s">
        <v>56</v>
      </c>
      <c r="E254" t="s">
        <v>28</v>
      </c>
      <c r="F254" t="s">
        <v>14</v>
      </c>
      <c r="G254" t="s">
        <v>45</v>
      </c>
      <c r="H254" t="s">
        <v>45</v>
      </c>
      <c r="I254" t="s">
        <v>58</v>
      </c>
      <c r="J254">
        <v>7</v>
      </c>
      <c r="K254" t="s">
        <v>81</v>
      </c>
      <c r="L254">
        <v>105</v>
      </c>
      <c r="M254">
        <v>58</v>
      </c>
      <c r="N254">
        <v>735</v>
      </c>
      <c r="O254">
        <v>406</v>
      </c>
      <c r="P254">
        <v>329</v>
      </c>
      <c r="Q254" s="18">
        <v>0.44761904761904803</v>
      </c>
    </row>
    <row r="255" spans="1:17" x14ac:dyDescent="0.25">
      <c r="A255" s="17">
        <v>46126</v>
      </c>
      <c r="B255" t="s">
        <v>76</v>
      </c>
      <c r="C255" t="s">
        <v>76</v>
      </c>
      <c r="D255" t="s">
        <v>8</v>
      </c>
      <c r="E255" t="s">
        <v>39</v>
      </c>
      <c r="F255" t="s">
        <v>24</v>
      </c>
      <c r="G255" t="s">
        <v>10</v>
      </c>
      <c r="H255" t="s">
        <v>10</v>
      </c>
      <c r="I255" t="s">
        <v>16</v>
      </c>
      <c r="J255">
        <v>13</v>
      </c>
      <c r="K255" t="s">
        <v>80</v>
      </c>
      <c r="L255">
        <v>89</v>
      </c>
      <c r="M255">
        <v>47</v>
      </c>
      <c r="N255">
        <v>1157</v>
      </c>
      <c r="O255">
        <v>611</v>
      </c>
      <c r="P255">
        <v>546</v>
      </c>
      <c r="Q255" s="18">
        <v>0.47191011235955099</v>
      </c>
    </row>
    <row r="256" spans="1:17" x14ac:dyDescent="0.25">
      <c r="A256" s="17">
        <v>46069</v>
      </c>
      <c r="B256" t="s">
        <v>32</v>
      </c>
      <c r="C256" t="s">
        <v>32</v>
      </c>
      <c r="D256" t="s">
        <v>8</v>
      </c>
      <c r="E256" t="s">
        <v>39</v>
      </c>
      <c r="F256" t="s">
        <v>24</v>
      </c>
      <c r="G256" t="s">
        <v>34</v>
      </c>
      <c r="H256" t="s">
        <v>10</v>
      </c>
      <c r="I256" t="s">
        <v>21</v>
      </c>
      <c r="J256">
        <v>15</v>
      </c>
      <c r="K256" t="s">
        <v>80</v>
      </c>
      <c r="L256">
        <v>105</v>
      </c>
      <c r="M256">
        <v>58</v>
      </c>
      <c r="N256">
        <v>1575</v>
      </c>
      <c r="O256">
        <v>870</v>
      </c>
      <c r="P256">
        <v>705</v>
      </c>
      <c r="Q256" s="18">
        <v>0.44761904761904803</v>
      </c>
    </row>
    <row r="257" spans="1:17" x14ac:dyDescent="0.25">
      <c r="A257" s="17">
        <v>46091</v>
      </c>
      <c r="B257" t="s">
        <v>32</v>
      </c>
      <c r="C257" t="s">
        <v>32</v>
      </c>
      <c r="D257" t="s">
        <v>39</v>
      </c>
      <c r="E257" t="s">
        <v>39</v>
      </c>
      <c r="F257" t="s">
        <v>14</v>
      </c>
      <c r="G257" t="s">
        <v>53</v>
      </c>
      <c r="H257" t="s">
        <v>25</v>
      </c>
      <c r="I257" t="s">
        <v>54</v>
      </c>
      <c r="J257">
        <v>9</v>
      </c>
      <c r="K257" t="s">
        <v>82</v>
      </c>
      <c r="L257">
        <v>105</v>
      </c>
      <c r="M257">
        <v>58</v>
      </c>
      <c r="N257">
        <v>945</v>
      </c>
      <c r="O257">
        <v>522</v>
      </c>
      <c r="P257">
        <v>423</v>
      </c>
      <c r="Q257" s="18">
        <v>0.44761904761904803</v>
      </c>
    </row>
    <row r="258" spans="1:17" x14ac:dyDescent="0.25">
      <c r="A258" s="17">
        <v>46060</v>
      </c>
      <c r="B258" t="s">
        <v>63</v>
      </c>
      <c r="C258" t="s">
        <v>76</v>
      </c>
      <c r="D258" t="s">
        <v>56</v>
      </c>
      <c r="E258" t="s">
        <v>28</v>
      </c>
      <c r="F258" t="s">
        <v>24</v>
      </c>
      <c r="G258" t="s">
        <v>60</v>
      </c>
      <c r="H258" t="s">
        <v>10</v>
      </c>
      <c r="I258" t="s">
        <v>50</v>
      </c>
      <c r="J258">
        <v>15</v>
      </c>
      <c r="K258" t="s">
        <v>81</v>
      </c>
      <c r="L258">
        <v>89</v>
      </c>
      <c r="M258">
        <v>47</v>
      </c>
      <c r="N258">
        <v>1335</v>
      </c>
      <c r="O258">
        <v>705</v>
      </c>
      <c r="P258">
        <v>630</v>
      </c>
      <c r="Q258" s="18">
        <v>0.47191011235955099</v>
      </c>
    </row>
    <row r="259" spans="1:17" x14ac:dyDescent="0.25">
      <c r="A259" s="17">
        <v>46053</v>
      </c>
      <c r="B259" t="s">
        <v>42</v>
      </c>
      <c r="C259" t="s">
        <v>42</v>
      </c>
      <c r="D259" t="s">
        <v>33</v>
      </c>
      <c r="E259" t="s">
        <v>39</v>
      </c>
      <c r="F259" t="s">
        <v>29</v>
      </c>
      <c r="G259" t="s">
        <v>40</v>
      </c>
      <c r="H259" t="s">
        <v>25</v>
      </c>
      <c r="I259" t="s">
        <v>43</v>
      </c>
      <c r="J259">
        <v>15</v>
      </c>
      <c r="K259" t="s">
        <v>79</v>
      </c>
      <c r="L259">
        <v>32</v>
      </c>
      <c r="M259">
        <v>14</v>
      </c>
      <c r="N259">
        <v>480</v>
      </c>
      <c r="O259">
        <v>210</v>
      </c>
      <c r="P259">
        <v>270</v>
      </c>
      <c r="Q259" s="18">
        <v>0.5625</v>
      </c>
    </row>
    <row r="260" spans="1:17" x14ac:dyDescent="0.25">
      <c r="A260" s="17">
        <v>46098</v>
      </c>
      <c r="B260" t="s">
        <v>17</v>
      </c>
      <c r="C260" t="s">
        <v>17</v>
      </c>
      <c r="D260" t="s">
        <v>8</v>
      </c>
      <c r="E260" t="s">
        <v>39</v>
      </c>
      <c r="F260" t="s">
        <v>24</v>
      </c>
      <c r="G260" t="s">
        <v>25</v>
      </c>
      <c r="H260" t="s">
        <v>25</v>
      </c>
      <c r="I260" t="s">
        <v>37</v>
      </c>
      <c r="J260">
        <v>13</v>
      </c>
      <c r="K260" t="s">
        <v>82</v>
      </c>
      <c r="L260">
        <v>119</v>
      </c>
      <c r="M260">
        <v>67</v>
      </c>
      <c r="N260">
        <v>1547</v>
      </c>
      <c r="O260">
        <v>871</v>
      </c>
      <c r="P260">
        <v>676</v>
      </c>
      <c r="Q260" s="18">
        <v>0.436974789915966</v>
      </c>
    </row>
    <row r="261" spans="1:17" x14ac:dyDescent="0.25">
      <c r="A261" s="17">
        <v>46077</v>
      </c>
      <c r="B261" t="s">
        <v>42</v>
      </c>
      <c r="C261" t="s">
        <v>42</v>
      </c>
      <c r="D261" t="s">
        <v>18</v>
      </c>
      <c r="E261" t="s">
        <v>48</v>
      </c>
      <c r="F261" t="s">
        <v>19</v>
      </c>
      <c r="G261" t="s">
        <v>10</v>
      </c>
      <c r="H261" t="s">
        <v>10</v>
      </c>
      <c r="I261" t="s">
        <v>11</v>
      </c>
      <c r="J261">
        <v>6</v>
      </c>
      <c r="K261" t="s">
        <v>79</v>
      </c>
      <c r="L261">
        <v>32</v>
      </c>
      <c r="M261">
        <v>14</v>
      </c>
      <c r="N261">
        <v>192</v>
      </c>
      <c r="O261">
        <v>84</v>
      </c>
      <c r="P261">
        <v>108</v>
      </c>
      <c r="Q261" s="18">
        <v>0.5625</v>
      </c>
    </row>
    <row r="262" spans="1:17" x14ac:dyDescent="0.25">
      <c r="A262" s="17">
        <v>46041</v>
      </c>
      <c r="B262" t="s">
        <v>38</v>
      </c>
      <c r="C262" t="s">
        <v>76</v>
      </c>
      <c r="D262" t="s">
        <v>18</v>
      </c>
      <c r="E262" t="s">
        <v>48</v>
      </c>
      <c r="F262" t="s">
        <v>14</v>
      </c>
      <c r="G262" t="s">
        <v>57</v>
      </c>
      <c r="H262" t="s">
        <v>57</v>
      </c>
      <c r="I262" t="s">
        <v>31</v>
      </c>
      <c r="J262">
        <v>6</v>
      </c>
      <c r="K262" t="s">
        <v>82</v>
      </c>
      <c r="L262">
        <v>89</v>
      </c>
      <c r="M262">
        <v>47</v>
      </c>
      <c r="N262">
        <v>534</v>
      </c>
      <c r="O262">
        <v>282</v>
      </c>
      <c r="P262">
        <v>252</v>
      </c>
      <c r="Q262" s="18">
        <v>0.47191011235955099</v>
      </c>
    </row>
    <row r="263" spans="1:17" x14ac:dyDescent="0.25">
      <c r="A263" s="17">
        <v>46189</v>
      </c>
      <c r="B263" t="s">
        <v>27</v>
      </c>
      <c r="C263" t="s">
        <v>71</v>
      </c>
      <c r="D263" t="s">
        <v>33</v>
      </c>
      <c r="E263" t="s">
        <v>39</v>
      </c>
      <c r="F263" t="s">
        <v>19</v>
      </c>
      <c r="G263" t="s">
        <v>60</v>
      </c>
      <c r="H263" t="s">
        <v>10</v>
      </c>
      <c r="I263" t="s">
        <v>46</v>
      </c>
      <c r="J263">
        <v>10</v>
      </c>
      <c r="K263" t="s">
        <v>80</v>
      </c>
      <c r="L263">
        <v>76</v>
      </c>
      <c r="M263">
        <v>39</v>
      </c>
      <c r="N263">
        <v>760</v>
      </c>
      <c r="O263">
        <v>390</v>
      </c>
      <c r="P263">
        <v>370</v>
      </c>
      <c r="Q263" s="18">
        <v>0.48684210526315802</v>
      </c>
    </row>
    <row r="264" spans="1:17" x14ac:dyDescent="0.25">
      <c r="A264" s="17">
        <v>46190</v>
      </c>
      <c r="B264" t="s">
        <v>64</v>
      </c>
      <c r="C264" t="s">
        <v>42</v>
      </c>
      <c r="D264" t="s">
        <v>68</v>
      </c>
      <c r="E264" t="s">
        <v>48</v>
      </c>
      <c r="F264" t="s">
        <v>29</v>
      </c>
      <c r="G264" t="s">
        <v>34</v>
      </c>
      <c r="H264" t="s">
        <v>10</v>
      </c>
      <c r="I264" t="s">
        <v>41</v>
      </c>
      <c r="J264">
        <v>4</v>
      </c>
      <c r="K264" t="s">
        <v>82</v>
      </c>
      <c r="L264">
        <v>32</v>
      </c>
      <c r="M264">
        <v>14</v>
      </c>
      <c r="N264">
        <v>128</v>
      </c>
      <c r="O264">
        <v>56</v>
      </c>
      <c r="P264">
        <v>72</v>
      </c>
      <c r="Q264" s="18">
        <v>0.5625</v>
      </c>
    </row>
    <row r="265" spans="1:17" x14ac:dyDescent="0.25">
      <c r="A265" s="17">
        <v>46227</v>
      </c>
      <c r="B265" t="s">
        <v>42</v>
      </c>
      <c r="C265" t="s">
        <v>42</v>
      </c>
      <c r="D265" t="s">
        <v>18</v>
      </c>
      <c r="E265" t="s">
        <v>48</v>
      </c>
      <c r="F265" t="s">
        <v>14</v>
      </c>
      <c r="G265" t="s">
        <v>69</v>
      </c>
      <c r="H265" t="s">
        <v>69</v>
      </c>
      <c r="I265" t="s">
        <v>43</v>
      </c>
      <c r="J265">
        <v>7</v>
      </c>
      <c r="K265" t="s">
        <v>82</v>
      </c>
      <c r="L265">
        <v>32</v>
      </c>
      <c r="M265">
        <v>14</v>
      </c>
      <c r="N265">
        <v>224</v>
      </c>
      <c r="O265">
        <v>98</v>
      </c>
      <c r="P265">
        <v>126</v>
      </c>
      <c r="Q265" s="18">
        <v>0.5625</v>
      </c>
    </row>
    <row r="266" spans="1:17" x14ac:dyDescent="0.25">
      <c r="A266" s="17">
        <v>46169</v>
      </c>
      <c r="B266" t="s">
        <v>32</v>
      </c>
      <c r="C266" t="s">
        <v>32</v>
      </c>
      <c r="D266" t="s">
        <v>48</v>
      </c>
      <c r="E266" t="s">
        <v>48</v>
      </c>
      <c r="F266" t="s">
        <v>24</v>
      </c>
      <c r="G266" t="s">
        <v>60</v>
      </c>
      <c r="H266" t="s">
        <v>10</v>
      </c>
      <c r="I266" t="s">
        <v>31</v>
      </c>
      <c r="J266">
        <v>10</v>
      </c>
      <c r="K266" t="s">
        <v>80</v>
      </c>
      <c r="L266">
        <v>105</v>
      </c>
      <c r="M266">
        <v>58</v>
      </c>
      <c r="N266">
        <v>1050</v>
      </c>
      <c r="O266">
        <v>580</v>
      </c>
      <c r="P266">
        <v>470</v>
      </c>
      <c r="Q266" s="18">
        <v>0.44761904761904803</v>
      </c>
    </row>
    <row r="267" spans="1:17" x14ac:dyDescent="0.25">
      <c r="A267" s="17">
        <v>46066</v>
      </c>
      <c r="B267" t="s">
        <v>7</v>
      </c>
      <c r="C267" t="s">
        <v>42</v>
      </c>
      <c r="D267" t="s">
        <v>33</v>
      </c>
      <c r="E267" t="s">
        <v>39</v>
      </c>
      <c r="F267" t="s">
        <v>19</v>
      </c>
      <c r="G267" t="s">
        <v>73</v>
      </c>
      <c r="H267" t="s">
        <v>57</v>
      </c>
      <c r="I267" t="s">
        <v>26</v>
      </c>
      <c r="J267">
        <v>10</v>
      </c>
      <c r="K267" t="s">
        <v>80</v>
      </c>
      <c r="L267">
        <v>32</v>
      </c>
      <c r="M267">
        <v>14</v>
      </c>
      <c r="N267">
        <v>320</v>
      </c>
      <c r="O267">
        <v>140</v>
      </c>
      <c r="P267">
        <v>180</v>
      </c>
      <c r="Q267" s="18">
        <v>0.5625</v>
      </c>
    </row>
    <row r="268" spans="1:17" x14ac:dyDescent="0.25">
      <c r="A268" s="17">
        <v>46053</v>
      </c>
      <c r="B268" t="s">
        <v>51</v>
      </c>
      <c r="C268" t="s">
        <v>51</v>
      </c>
      <c r="D268" t="s">
        <v>33</v>
      </c>
      <c r="E268" t="s">
        <v>39</v>
      </c>
      <c r="F268" t="s">
        <v>14</v>
      </c>
      <c r="G268" t="s">
        <v>10</v>
      </c>
      <c r="H268" t="s">
        <v>10</v>
      </c>
      <c r="I268" t="s">
        <v>11</v>
      </c>
      <c r="J268">
        <v>15</v>
      </c>
      <c r="K268" t="s">
        <v>82</v>
      </c>
      <c r="L268">
        <v>54</v>
      </c>
      <c r="M268">
        <v>28</v>
      </c>
      <c r="N268">
        <v>810</v>
      </c>
      <c r="O268">
        <v>420</v>
      </c>
      <c r="P268">
        <v>390</v>
      </c>
      <c r="Q268" s="18">
        <v>0.48148148148148101</v>
      </c>
    </row>
    <row r="269" spans="1:17" x14ac:dyDescent="0.25">
      <c r="A269" s="17">
        <v>46131</v>
      </c>
      <c r="B269" t="s">
        <v>51</v>
      </c>
      <c r="C269" t="s">
        <v>51</v>
      </c>
      <c r="D269" t="s">
        <v>18</v>
      </c>
      <c r="E269" t="s">
        <v>48</v>
      </c>
      <c r="F269" t="s">
        <v>29</v>
      </c>
      <c r="G269" t="s">
        <v>40</v>
      </c>
      <c r="H269" t="s">
        <v>25</v>
      </c>
      <c r="I269" t="s">
        <v>54</v>
      </c>
      <c r="J269">
        <v>1</v>
      </c>
      <c r="K269" t="s">
        <v>80</v>
      </c>
      <c r="L269">
        <v>54</v>
      </c>
      <c r="M269">
        <v>28</v>
      </c>
      <c r="N269">
        <v>54</v>
      </c>
      <c r="O269">
        <v>28</v>
      </c>
      <c r="P269">
        <v>26</v>
      </c>
      <c r="Q269" s="18">
        <v>0.48148148148148101</v>
      </c>
    </row>
    <row r="270" spans="1:17" x14ac:dyDescent="0.25">
      <c r="A270" s="17">
        <v>46105</v>
      </c>
      <c r="B270" t="s">
        <v>65</v>
      </c>
      <c r="C270" t="s">
        <v>65</v>
      </c>
      <c r="D270" t="s">
        <v>18</v>
      </c>
      <c r="E270" t="s">
        <v>48</v>
      </c>
      <c r="F270" t="s">
        <v>9</v>
      </c>
      <c r="G270" t="s">
        <v>30</v>
      </c>
      <c r="H270" t="s">
        <v>57</v>
      </c>
      <c r="I270" t="s">
        <v>16</v>
      </c>
      <c r="J270">
        <v>2</v>
      </c>
      <c r="K270" t="s">
        <v>81</v>
      </c>
      <c r="L270">
        <v>128</v>
      </c>
      <c r="M270">
        <v>72</v>
      </c>
      <c r="N270">
        <v>256</v>
      </c>
      <c r="O270">
        <v>144</v>
      </c>
      <c r="P270">
        <v>112</v>
      </c>
      <c r="Q270" s="18">
        <v>0.4375</v>
      </c>
    </row>
    <row r="271" spans="1:17" x14ac:dyDescent="0.25">
      <c r="A271" s="17">
        <v>46235</v>
      </c>
      <c r="B271" t="s">
        <v>32</v>
      </c>
      <c r="C271" t="s">
        <v>32</v>
      </c>
      <c r="D271" t="s">
        <v>68</v>
      </c>
      <c r="E271" t="s">
        <v>48</v>
      </c>
      <c r="F271" t="s">
        <v>24</v>
      </c>
      <c r="G271" t="s">
        <v>25</v>
      </c>
      <c r="H271" t="s">
        <v>25</v>
      </c>
      <c r="I271" t="s">
        <v>61</v>
      </c>
      <c r="J271">
        <v>12</v>
      </c>
      <c r="K271" t="s">
        <v>81</v>
      </c>
      <c r="L271">
        <v>105</v>
      </c>
      <c r="M271">
        <v>58</v>
      </c>
      <c r="N271">
        <v>1260</v>
      </c>
      <c r="O271">
        <v>696</v>
      </c>
      <c r="P271">
        <v>564</v>
      </c>
      <c r="Q271" s="18">
        <v>0.44761904761904803</v>
      </c>
    </row>
    <row r="272" spans="1:17" x14ac:dyDescent="0.25">
      <c r="A272" s="17">
        <v>46178</v>
      </c>
      <c r="B272" t="s">
        <v>70</v>
      </c>
      <c r="C272" t="s">
        <v>51</v>
      </c>
      <c r="D272" t="s">
        <v>33</v>
      </c>
      <c r="E272" t="s">
        <v>39</v>
      </c>
      <c r="F272" t="s">
        <v>14</v>
      </c>
      <c r="G272" t="s">
        <v>20</v>
      </c>
      <c r="H272" t="s">
        <v>69</v>
      </c>
      <c r="I272" t="s">
        <v>46</v>
      </c>
      <c r="J272">
        <v>15</v>
      </c>
      <c r="K272" t="s">
        <v>79</v>
      </c>
      <c r="L272">
        <v>54</v>
      </c>
      <c r="M272">
        <v>28</v>
      </c>
      <c r="N272">
        <v>810</v>
      </c>
      <c r="O272">
        <v>420</v>
      </c>
      <c r="P272">
        <v>390</v>
      </c>
      <c r="Q272" s="18">
        <v>0.48148148148148101</v>
      </c>
    </row>
    <row r="273" spans="1:17" x14ac:dyDescent="0.25">
      <c r="A273" s="17">
        <v>46190</v>
      </c>
      <c r="B273" t="s">
        <v>42</v>
      </c>
      <c r="C273" t="s">
        <v>42</v>
      </c>
      <c r="D273" t="s">
        <v>8</v>
      </c>
      <c r="E273" t="s">
        <v>39</v>
      </c>
      <c r="F273" t="s">
        <v>24</v>
      </c>
      <c r="G273" t="s">
        <v>57</v>
      </c>
      <c r="H273" t="s">
        <v>57</v>
      </c>
      <c r="I273" t="s">
        <v>46</v>
      </c>
      <c r="J273">
        <v>13</v>
      </c>
      <c r="K273" t="s">
        <v>82</v>
      </c>
      <c r="L273">
        <v>32</v>
      </c>
      <c r="M273">
        <v>14</v>
      </c>
      <c r="N273">
        <v>416</v>
      </c>
      <c r="O273">
        <v>182</v>
      </c>
      <c r="P273">
        <v>234</v>
      </c>
      <c r="Q273" s="18">
        <v>0.5625</v>
      </c>
    </row>
    <row r="274" spans="1:17" x14ac:dyDescent="0.25">
      <c r="A274" s="17">
        <v>46110</v>
      </c>
      <c r="B274" t="s">
        <v>67</v>
      </c>
      <c r="C274" t="s">
        <v>17</v>
      </c>
      <c r="D274" t="s">
        <v>18</v>
      </c>
      <c r="E274" t="s">
        <v>48</v>
      </c>
      <c r="F274" t="s">
        <v>29</v>
      </c>
      <c r="G274" t="s">
        <v>60</v>
      </c>
      <c r="H274" t="s">
        <v>10</v>
      </c>
      <c r="I274" t="s">
        <v>16</v>
      </c>
      <c r="J274">
        <v>3</v>
      </c>
      <c r="K274" t="s">
        <v>81</v>
      </c>
      <c r="L274">
        <v>119</v>
      </c>
      <c r="M274">
        <v>67</v>
      </c>
      <c r="N274">
        <v>357</v>
      </c>
      <c r="O274">
        <v>201</v>
      </c>
      <c r="P274">
        <v>156</v>
      </c>
      <c r="Q274" s="18">
        <v>0.436974789915966</v>
      </c>
    </row>
    <row r="275" spans="1:17" x14ac:dyDescent="0.25">
      <c r="A275" s="17">
        <v>46208</v>
      </c>
      <c r="B275" t="s">
        <v>38</v>
      </c>
      <c r="C275" t="s">
        <v>76</v>
      </c>
      <c r="D275" t="s">
        <v>39</v>
      </c>
      <c r="E275" t="s">
        <v>39</v>
      </c>
      <c r="F275" t="s">
        <v>24</v>
      </c>
      <c r="G275" t="s">
        <v>57</v>
      </c>
      <c r="H275" t="s">
        <v>57</v>
      </c>
      <c r="I275" t="s">
        <v>43</v>
      </c>
      <c r="J275">
        <v>3</v>
      </c>
      <c r="K275" t="s">
        <v>81</v>
      </c>
      <c r="L275">
        <v>89</v>
      </c>
      <c r="M275">
        <v>47</v>
      </c>
      <c r="N275">
        <v>267</v>
      </c>
      <c r="O275">
        <v>141</v>
      </c>
      <c r="P275">
        <v>126</v>
      </c>
      <c r="Q275" s="18">
        <v>0.47191011235955099</v>
      </c>
    </row>
    <row r="276" spans="1:17" x14ac:dyDescent="0.25">
      <c r="A276" s="17">
        <v>46097</v>
      </c>
      <c r="B276" t="s">
        <v>17</v>
      </c>
      <c r="C276" t="s">
        <v>17</v>
      </c>
      <c r="D276" t="s">
        <v>8</v>
      </c>
      <c r="E276" t="s">
        <v>39</v>
      </c>
      <c r="F276" t="s">
        <v>19</v>
      </c>
      <c r="G276" t="s">
        <v>10</v>
      </c>
      <c r="H276" t="s">
        <v>10</v>
      </c>
      <c r="I276" t="s">
        <v>21</v>
      </c>
      <c r="J276">
        <v>12</v>
      </c>
      <c r="K276" t="s">
        <v>82</v>
      </c>
      <c r="L276">
        <v>119</v>
      </c>
      <c r="M276">
        <v>67</v>
      </c>
      <c r="N276">
        <v>1428</v>
      </c>
      <c r="O276">
        <v>804</v>
      </c>
      <c r="P276">
        <v>624</v>
      </c>
      <c r="Q276" s="18">
        <v>0.436974789915966</v>
      </c>
    </row>
    <row r="277" spans="1:17" x14ac:dyDescent="0.25">
      <c r="A277" s="17">
        <v>46199</v>
      </c>
      <c r="B277" t="s">
        <v>44</v>
      </c>
      <c r="C277" t="s">
        <v>65</v>
      </c>
      <c r="D277" t="s">
        <v>39</v>
      </c>
      <c r="E277" t="s">
        <v>39</v>
      </c>
      <c r="F277" t="s">
        <v>24</v>
      </c>
      <c r="G277" t="s">
        <v>40</v>
      </c>
      <c r="H277" t="s">
        <v>25</v>
      </c>
      <c r="I277" t="s">
        <v>11</v>
      </c>
      <c r="J277">
        <v>8</v>
      </c>
      <c r="K277" t="s">
        <v>81</v>
      </c>
      <c r="L277">
        <v>128</v>
      </c>
      <c r="M277">
        <v>72</v>
      </c>
      <c r="N277">
        <v>1024</v>
      </c>
      <c r="O277">
        <v>576</v>
      </c>
      <c r="P277">
        <v>448</v>
      </c>
      <c r="Q277" s="18">
        <v>0.4375</v>
      </c>
    </row>
    <row r="278" spans="1:17" x14ac:dyDescent="0.25">
      <c r="A278" s="17">
        <v>46111</v>
      </c>
      <c r="B278" t="s">
        <v>36</v>
      </c>
      <c r="C278" t="s">
        <v>62</v>
      </c>
      <c r="D278" t="s">
        <v>18</v>
      </c>
      <c r="E278" t="s">
        <v>48</v>
      </c>
      <c r="F278" t="s">
        <v>24</v>
      </c>
      <c r="G278" t="s">
        <v>73</v>
      </c>
      <c r="H278" t="s">
        <v>57</v>
      </c>
      <c r="I278" t="s">
        <v>43</v>
      </c>
      <c r="J278">
        <v>4</v>
      </c>
      <c r="K278" t="s">
        <v>79</v>
      </c>
      <c r="L278">
        <v>112</v>
      </c>
      <c r="M278">
        <v>64</v>
      </c>
      <c r="N278">
        <v>448</v>
      </c>
      <c r="O278">
        <v>256</v>
      </c>
      <c r="P278">
        <v>192</v>
      </c>
      <c r="Q278" s="18">
        <v>0.42857142857142899</v>
      </c>
    </row>
    <row r="279" spans="1:17" x14ac:dyDescent="0.25">
      <c r="A279" s="17">
        <v>46094</v>
      </c>
      <c r="B279" t="s">
        <v>42</v>
      </c>
      <c r="C279" t="s">
        <v>42</v>
      </c>
      <c r="D279" t="s">
        <v>13</v>
      </c>
      <c r="E279" t="s">
        <v>13</v>
      </c>
      <c r="F279" t="s">
        <v>29</v>
      </c>
      <c r="G279" t="s">
        <v>60</v>
      </c>
      <c r="H279" t="s">
        <v>10</v>
      </c>
      <c r="I279" t="s">
        <v>37</v>
      </c>
      <c r="J279">
        <v>9</v>
      </c>
      <c r="K279" t="s">
        <v>80</v>
      </c>
      <c r="L279">
        <v>32</v>
      </c>
      <c r="M279">
        <v>14</v>
      </c>
      <c r="N279">
        <v>288</v>
      </c>
      <c r="O279">
        <v>126</v>
      </c>
      <c r="P279">
        <v>162</v>
      </c>
      <c r="Q279" s="18">
        <v>0.5625</v>
      </c>
    </row>
    <row r="280" spans="1:17" x14ac:dyDescent="0.25">
      <c r="A280" s="17">
        <v>46031</v>
      </c>
      <c r="B280" t="s">
        <v>44</v>
      </c>
      <c r="C280" t="s">
        <v>65</v>
      </c>
      <c r="D280" t="s">
        <v>8</v>
      </c>
      <c r="E280" t="s">
        <v>39</v>
      </c>
      <c r="F280" t="s">
        <v>9</v>
      </c>
      <c r="G280" t="s">
        <v>34</v>
      </c>
      <c r="H280" t="s">
        <v>10</v>
      </c>
      <c r="I280" t="s">
        <v>11</v>
      </c>
      <c r="J280">
        <v>7</v>
      </c>
      <c r="K280" t="s">
        <v>81</v>
      </c>
      <c r="L280">
        <v>128</v>
      </c>
      <c r="M280">
        <v>72</v>
      </c>
      <c r="N280">
        <v>896</v>
      </c>
      <c r="O280">
        <v>504</v>
      </c>
      <c r="P280">
        <v>392</v>
      </c>
      <c r="Q280" s="18">
        <v>0.4375</v>
      </c>
    </row>
    <row r="281" spans="1:17" x14ac:dyDescent="0.25">
      <c r="A281" s="17">
        <v>46174</v>
      </c>
      <c r="B281" t="s">
        <v>44</v>
      </c>
      <c r="C281" t="s">
        <v>65</v>
      </c>
      <c r="D281" t="s">
        <v>39</v>
      </c>
      <c r="E281" t="s">
        <v>39</v>
      </c>
      <c r="F281" t="s">
        <v>14</v>
      </c>
      <c r="G281" t="s">
        <v>34</v>
      </c>
      <c r="H281" t="s">
        <v>10</v>
      </c>
      <c r="I281" t="s">
        <v>21</v>
      </c>
      <c r="J281">
        <v>8</v>
      </c>
      <c r="K281" t="s">
        <v>79</v>
      </c>
      <c r="L281">
        <v>128</v>
      </c>
      <c r="M281">
        <v>72</v>
      </c>
      <c r="N281">
        <v>1024</v>
      </c>
      <c r="O281">
        <v>576</v>
      </c>
      <c r="P281">
        <v>448</v>
      </c>
      <c r="Q281" s="18">
        <v>0.4375</v>
      </c>
    </row>
    <row r="282" spans="1:17" x14ac:dyDescent="0.25">
      <c r="A282" s="17">
        <v>46168</v>
      </c>
      <c r="B282" t="s">
        <v>62</v>
      </c>
      <c r="C282" t="s">
        <v>62</v>
      </c>
      <c r="D282" t="s">
        <v>33</v>
      </c>
      <c r="E282" t="s">
        <v>39</v>
      </c>
      <c r="F282" t="s">
        <v>14</v>
      </c>
      <c r="G282" t="s">
        <v>60</v>
      </c>
      <c r="H282" t="s">
        <v>10</v>
      </c>
      <c r="I282" t="s">
        <v>35</v>
      </c>
      <c r="J282">
        <v>6</v>
      </c>
      <c r="K282" t="s">
        <v>79</v>
      </c>
      <c r="L282">
        <v>112</v>
      </c>
      <c r="M282">
        <v>64</v>
      </c>
      <c r="N282">
        <v>672</v>
      </c>
      <c r="O282">
        <v>384</v>
      </c>
      <c r="P282">
        <v>288</v>
      </c>
      <c r="Q282" s="18">
        <v>0.42857142857142899</v>
      </c>
    </row>
    <row r="283" spans="1:17" x14ac:dyDescent="0.25">
      <c r="A283" s="17">
        <v>46059</v>
      </c>
      <c r="B283" t="s">
        <v>65</v>
      </c>
      <c r="C283" t="s">
        <v>65</v>
      </c>
      <c r="D283" t="s">
        <v>39</v>
      </c>
      <c r="E283" t="s">
        <v>39</v>
      </c>
      <c r="F283" t="s">
        <v>9</v>
      </c>
      <c r="G283" t="s">
        <v>34</v>
      </c>
      <c r="H283" t="s">
        <v>10</v>
      </c>
      <c r="I283" t="s">
        <v>54</v>
      </c>
      <c r="J283">
        <v>3</v>
      </c>
      <c r="K283" t="s">
        <v>79</v>
      </c>
      <c r="L283">
        <v>128</v>
      </c>
      <c r="M283">
        <v>72</v>
      </c>
      <c r="N283">
        <v>384</v>
      </c>
      <c r="O283">
        <v>216</v>
      </c>
      <c r="P283">
        <v>168</v>
      </c>
      <c r="Q283" s="18">
        <v>0.4375</v>
      </c>
    </row>
    <row r="284" spans="1:17" x14ac:dyDescent="0.25">
      <c r="A284" s="17">
        <v>46088</v>
      </c>
      <c r="B284" t="s">
        <v>74</v>
      </c>
      <c r="C284" t="s">
        <v>32</v>
      </c>
      <c r="D284" t="s">
        <v>72</v>
      </c>
      <c r="E284" t="s">
        <v>28</v>
      </c>
      <c r="F284" t="s">
        <v>19</v>
      </c>
      <c r="G284" t="s">
        <v>10</v>
      </c>
      <c r="H284" t="s">
        <v>10</v>
      </c>
      <c r="I284" t="s">
        <v>31</v>
      </c>
      <c r="J284">
        <v>3</v>
      </c>
      <c r="K284" t="s">
        <v>81</v>
      </c>
      <c r="L284">
        <v>105</v>
      </c>
      <c r="M284">
        <v>58</v>
      </c>
      <c r="N284">
        <v>315</v>
      </c>
      <c r="O284">
        <v>174</v>
      </c>
      <c r="P284">
        <v>141</v>
      </c>
      <c r="Q284" s="18">
        <v>0.44761904761904803</v>
      </c>
    </row>
    <row r="285" spans="1:17" x14ac:dyDescent="0.25">
      <c r="A285" s="17">
        <v>46032</v>
      </c>
      <c r="B285" t="s">
        <v>12</v>
      </c>
      <c r="C285" t="s">
        <v>65</v>
      </c>
      <c r="D285" t="s">
        <v>39</v>
      </c>
      <c r="E285" t="s">
        <v>39</v>
      </c>
      <c r="F285" t="s">
        <v>19</v>
      </c>
      <c r="G285" t="s">
        <v>60</v>
      </c>
      <c r="H285" t="s">
        <v>10</v>
      </c>
      <c r="I285" t="s">
        <v>43</v>
      </c>
      <c r="J285">
        <v>7</v>
      </c>
      <c r="K285" t="s">
        <v>79</v>
      </c>
      <c r="L285">
        <v>128</v>
      </c>
      <c r="M285">
        <v>72</v>
      </c>
      <c r="N285">
        <v>896</v>
      </c>
      <c r="O285">
        <v>504</v>
      </c>
      <c r="P285">
        <v>392</v>
      </c>
      <c r="Q285" s="18">
        <v>0.4375</v>
      </c>
    </row>
    <row r="286" spans="1:17" x14ac:dyDescent="0.25">
      <c r="A286" s="17">
        <v>46125</v>
      </c>
      <c r="B286" t="s">
        <v>47</v>
      </c>
      <c r="C286" t="s">
        <v>17</v>
      </c>
      <c r="D286" t="s">
        <v>39</v>
      </c>
      <c r="E286" t="s">
        <v>39</v>
      </c>
      <c r="F286" t="s">
        <v>24</v>
      </c>
      <c r="G286" t="s">
        <v>34</v>
      </c>
      <c r="H286" t="s">
        <v>10</v>
      </c>
      <c r="I286" t="s">
        <v>43</v>
      </c>
      <c r="J286">
        <v>5</v>
      </c>
      <c r="K286" t="s">
        <v>82</v>
      </c>
      <c r="L286">
        <v>119</v>
      </c>
      <c r="M286">
        <v>67</v>
      </c>
      <c r="N286">
        <v>595</v>
      </c>
      <c r="O286">
        <v>335</v>
      </c>
      <c r="P286">
        <v>260</v>
      </c>
      <c r="Q286" s="18">
        <v>0.436974789915966</v>
      </c>
    </row>
    <row r="287" spans="1:17" x14ac:dyDescent="0.25">
      <c r="A287" s="17">
        <v>46049</v>
      </c>
      <c r="B287" t="s">
        <v>47</v>
      </c>
      <c r="C287" t="s">
        <v>17</v>
      </c>
      <c r="D287" t="s">
        <v>23</v>
      </c>
      <c r="E287" t="s">
        <v>13</v>
      </c>
      <c r="F287" t="s">
        <v>19</v>
      </c>
      <c r="G287" t="s">
        <v>10</v>
      </c>
      <c r="H287" t="s">
        <v>10</v>
      </c>
      <c r="I287" t="s">
        <v>41</v>
      </c>
      <c r="J287">
        <v>3</v>
      </c>
      <c r="K287" t="s">
        <v>80</v>
      </c>
      <c r="L287">
        <v>119</v>
      </c>
      <c r="M287">
        <v>67</v>
      </c>
      <c r="N287">
        <v>357</v>
      </c>
      <c r="O287">
        <v>201</v>
      </c>
      <c r="P287">
        <v>156</v>
      </c>
      <c r="Q287" s="18">
        <v>0.436974789915966</v>
      </c>
    </row>
    <row r="288" spans="1:17" x14ac:dyDescent="0.25">
      <c r="A288" s="17">
        <v>46138</v>
      </c>
      <c r="B288" t="s">
        <v>32</v>
      </c>
      <c r="C288" t="s">
        <v>32</v>
      </c>
      <c r="D288" t="s">
        <v>48</v>
      </c>
      <c r="E288" t="s">
        <v>48</v>
      </c>
      <c r="F288" t="s">
        <v>19</v>
      </c>
      <c r="G288" t="s">
        <v>34</v>
      </c>
      <c r="H288" t="s">
        <v>10</v>
      </c>
      <c r="I288" t="s">
        <v>16</v>
      </c>
      <c r="J288">
        <v>12</v>
      </c>
      <c r="K288" t="s">
        <v>80</v>
      </c>
      <c r="L288">
        <v>105</v>
      </c>
      <c r="M288">
        <v>58</v>
      </c>
      <c r="N288">
        <v>1260</v>
      </c>
      <c r="O288">
        <v>696</v>
      </c>
      <c r="P288">
        <v>564</v>
      </c>
      <c r="Q288" s="18">
        <v>0.44761904761904803</v>
      </c>
    </row>
    <row r="289" spans="1:17" x14ac:dyDescent="0.25">
      <c r="A289" s="17">
        <v>46193</v>
      </c>
      <c r="B289" t="s">
        <v>64</v>
      </c>
      <c r="C289" t="s">
        <v>42</v>
      </c>
      <c r="D289" t="s">
        <v>39</v>
      </c>
      <c r="E289" t="s">
        <v>39</v>
      </c>
      <c r="F289" t="s">
        <v>24</v>
      </c>
      <c r="G289" t="s">
        <v>60</v>
      </c>
      <c r="H289" t="s">
        <v>10</v>
      </c>
      <c r="I289" t="s">
        <v>26</v>
      </c>
      <c r="J289">
        <v>9</v>
      </c>
      <c r="K289" t="s">
        <v>80</v>
      </c>
      <c r="L289">
        <v>32</v>
      </c>
      <c r="M289">
        <v>14</v>
      </c>
      <c r="N289">
        <v>288</v>
      </c>
      <c r="O289">
        <v>126</v>
      </c>
      <c r="P289">
        <v>162</v>
      </c>
      <c r="Q289" s="18">
        <v>0.5625</v>
      </c>
    </row>
    <row r="290" spans="1:17" x14ac:dyDescent="0.25">
      <c r="A290" s="17">
        <v>46124</v>
      </c>
      <c r="B290" t="s">
        <v>67</v>
      </c>
      <c r="C290" t="s">
        <v>17</v>
      </c>
      <c r="D290" t="s">
        <v>33</v>
      </c>
      <c r="E290" t="s">
        <v>39</v>
      </c>
      <c r="F290" t="s">
        <v>19</v>
      </c>
      <c r="G290" t="s">
        <v>10</v>
      </c>
      <c r="H290" t="s">
        <v>10</v>
      </c>
      <c r="I290" t="s">
        <v>50</v>
      </c>
      <c r="J290">
        <v>3</v>
      </c>
      <c r="K290" t="s">
        <v>82</v>
      </c>
      <c r="L290">
        <v>119</v>
      </c>
      <c r="M290">
        <v>67</v>
      </c>
      <c r="N290">
        <v>357</v>
      </c>
      <c r="O290">
        <v>201</v>
      </c>
      <c r="P290">
        <v>156</v>
      </c>
      <c r="Q290" s="18">
        <v>0.436974789915966</v>
      </c>
    </row>
    <row r="291" spans="1:17" x14ac:dyDescent="0.25">
      <c r="A291" s="17">
        <v>46028</v>
      </c>
      <c r="B291" t="s">
        <v>74</v>
      </c>
      <c r="C291" t="s">
        <v>32</v>
      </c>
      <c r="D291" t="s">
        <v>33</v>
      </c>
      <c r="E291" t="s">
        <v>39</v>
      </c>
      <c r="F291" t="s">
        <v>19</v>
      </c>
      <c r="G291" t="s">
        <v>69</v>
      </c>
      <c r="H291" t="s">
        <v>69</v>
      </c>
      <c r="I291" t="s">
        <v>21</v>
      </c>
      <c r="J291">
        <v>9</v>
      </c>
      <c r="K291" t="s">
        <v>79</v>
      </c>
      <c r="L291">
        <v>105</v>
      </c>
      <c r="M291">
        <v>58</v>
      </c>
      <c r="N291">
        <v>945</v>
      </c>
      <c r="O291">
        <v>522</v>
      </c>
      <c r="P291">
        <v>423</v>
      </c>
      <c r="Q291" s="18">
        <v>0.44761904761904803</v>
      </c>
    </row>
    <row r="292" spans="1:17" x14ac:dyDescent="0.25">
      <c r="A292" s="17">
        <v>46090</v>
      </c>
      <c r="B292" t="s">
        <v>75</v>
      </c>
      <c r="C292" t="s">
        <v>62</v>
      </c>
      <c r="D292" t="s">
        <v>8</v>
      </c>
      <c r="E292" t="s">
        <v>39</v>
      </c>
      <c r="F292" t="s">
        <v>24</v>
      </c>
      <c r="G292" t="s">
        <v>25</v>
      </c>
      <c r="H292" t="s">
        <v>25</v>
      </c>
      <c r="I292" t="s">
        <v>26</v>
      </c>
      <c r="J292">
        <v>2</v>
      </c>
      <c r="K292" t="s">
        <v>80</v>
      </c>
      <c r="L292">
        <v>112</v>
      </c>
      <c r="M292">
        <v>64</v>
      </c>
      <c r="N292">
        <v>224</v>
      </c>
      <c r="O292">
        <v>128</v>
      </c>
      <c r="P292">
        <v>96</v>
      </c>
      <c r="Q292" s="18">
        <v>0.42857142857142899</v>
      </c>
    </row>
    <row r="293" spans="1:17" x14ac:dyDescent="0.25">
      <c r="A293" s="17">
        <v>46182</v>
      </c>
      <c r="B293" t="s">
        <v>55</v>
      </c>
      <c r="C293" t="s">
        <v>71</v>
      </c>
      <c r="D293" t="s">
        <v>13</v>
      </c>
      <c r="E293" t="s">
        <v>13</v>
      </c>
      <c r="F293" t="s">
        <v>24</v>
      </c>
      <c r="G293" t="s">
        <v>69</v>
      </c>
      <c r="H293" t="s">
        <v>69</v>
      </c>
      <c r="I293" t="s">
        <v>61</v>
      </c>
      <c r="J293">
        <v>6</v>
      </c>
      <c r="K293" t="s">
        <v>79</v>
      </c>
      <c r="L293">
        <v>76</v>
      </c>
      <c r="M293">
        <v>39</v>
      </c>
      <c r="N293">
        <v>456</v>
      </c>
      <c r="O293">
        <v>234</v>
      </c>
      <c r="P293">
        <v>222</v>
      </c>
      <c r="Q293" s="18">
        <v>0.48684210526315802</v>
      </c>
    </row>
    <row r="294" spans="1:17" x14ac:dyDescent="0.25">
      <c r="A294" s="17">
        <v>46091</v>
      </c>
      <c r="B294" t="s">
        <v>59</v>
      </c>
      <c r="C294" t="s">
        <v>32</v>
      </c>
      <c r="D294" t="s">
        <v>39</v>
      </c>
      <c r="E294" t="s">
        <v>39</v>
      </c>
      <c r="F294" t="s">
        <v>9</v>
      </c>
      <c r="G294" t="s">
        <v>57</v>
      </c>
      <c r="H294" t="s">
        <v>57</v>
      </c>
      <c r="I294" t="s">
        <v>35</v>
      </c>
      <c r="J294">
        <v>14</v>
      </c>
      <c r="K294" t="s">
        <v>80</v>
      </c>
      <c r="L294">
        <v>105</v>
      </c>
      <c r="M294">
        <v>58</v>
      </c>
      <c r="N294">
        <v>1470</v>
      </c>
      <c r="O294">
        <v>812</v>
      </c>
      <c r="P294">
        <v>658</v>
      </c>
      <c r="Q294" s="18">
        <v>0.44761904761904803</v>
      </c>
    </row>
    <row r="295" spans="1:17" x14ac:dyDescent="0.25">
      <c r="A295" s="17">
        <v>46037</v>
      </c>
      <c r="B295" t="s">
        <v>22</v>
      </c>
      <c r="C295" t="s">
        <v>51</v>
      </c>
      <c r="D295" t="s">
        <v>39</v>
      </c>
      <c r="E295" t="s">
        <v>39</v>
      </c>
      <c r="F295" t="s">
        <v>19</v>
      </c>
      <c r="G295" t="s">
        <v>40</v>
      </c>
      <c r="H295" t="s">
        <v>25</v>
      </c>
      <c r="I295" t="s">
        <v>61</v>
      </c>
      <c r="J295">
        <v>7</v>
      </c>
      <c r="K295" t="s">
        <v>81</v>
      </c>
      <c r="L295">
        <v>54</v>
      </c>
      <c r="M295">
        <v>28</v>
      </c>
      <c r="N295">
        <v>378</v>
      </c>
      <c r="O295">
        <v>196</v>
      </c>
      <c r="P295">
        <v>182</v>
      </c>
      <c r="Q295" s="18">
        <v>0.48148148148148101</v>
      </c>
    </row>
    <row r="296" spans="1:17" x14ac:dyDescent="0.25">
      <c r="A296" s="17">
        <v>46073</v>
      </c>
      <c r="B296" t="s">
        <v>55</v>
      </c>
      <c r="C296" t="s">
        <v>71</v>
      </c>
      <c r="D296" t="s">
        <v>18</v>
      </c>
      <c r="E296" t="s">
        <v>48</v>
      </c>
      <c r="F296" t="s">
        <v>19</v>
      </c>
      <c r="G296" t="s">
        <v>25</v>
      </c>
      <c r="H296" t="s">
        <v>25</v>
      </c>
      <c r="I296" t="s">
        <v>43</v>
      </c>
      <c r="J296">
        <v>8</v>
      </c>
      <c r="K296" t="s">
        <v>82</v>
      </c>
      <c r="L296">
        <v>76</v>
      </c>
      <c r="M296">
        <v>39</v>
      </c>
      <c r="N296">
        <v>608</v>
      </c>
      <c r="O296">
        <v>312</v>
      </c>
      <c r="P296">
        <v>296</v>
      </c>
      <c r="Q296" s="18">
        <v>0.48684210526315802</v>
      </c>
    </row>
    <row r="297" spans="1:17" x14ac:dyDescent="0.25">
      <c r="A297" s="17">
        <v>46147</v>
      </c>
      <c r="B297" t="s">
        <v>7</v>
      </c>
      <c r="C297" t="s">
        <v>42</v>
      </c>
      <c r="D297" t="s">
        <v>13</v>
      </c>
      <c r="E297" t="s">
        <v>13</v>
      </c>
      <c r="F297" t="s">
        <v>19</v>
      </c>
      <c r="G297" t="s">
        <v>40</v>
      </c>
      <c r="H297" t="s">
        <v>25</v>
      </c>
      <c r="I297" t="s">
        <v>26</v>
      </c>
      <c r="J297">
        <v>1</v>
      </c>
      <c r="K297" t="s">
        <v>82</v>
      </c>
      <c r="L297">
        <v>32</v>
      </c>
      <c r="M297">
        <v>14</v>
      </c>
      <c r="N297">
        <v>32</v>
      </c>
      <c r="O297">
        <v>14</v>
      </c>
      <c r="P297">
        <v>18</v>
      </c>
      <c r="Q297" s="18">
        <v>0.5625</v>
      </c>
    </row>
    <row r="298" spans="1:17" x14ac:dyDescent="0.25">
      <c r="A298" s="17">
        <v>46068</v>
      </c>
      <c r="B298" t="s">
        <v>70</v>
      </c>
      <c r="C298" t="s">
        <v>51</v>
      </c>
      <c r="D298" t="s">
        <v>39</v>
      </c>
      <c r="E298" t="s">
        <v>39</v>
      </c>
      <c r="F298" t="s">
        <v>19</v>
      </c>
      <c r="G298" t="s">
        <v>60</v>
      </c>
      <c r="H298" t="s">
        <v>10</v>
      </c>
      <c r="I298" t="s">
        <v>37</v>
      </c>
      <c r="J298">
        <v>9</v>
      </c>
      <c r="K298" t="s">
        <v>79</v>
      </c>
      <c r="L298">
        <v>54</v>
      </c>
      <c r="M298">
        <v>28</v>
      </c>
      <c r="N298">
        <v>486</v>
      </c>
      <c r="O298">
        <v>252</v>
      </c>
      <c r="P298">
        <v>234</v>
      </c>
      <c r="Q298" s="18">
        <v>0.48148148148148101</v>
      </c>
    </row>
    <row r="299" spans="1:17" x14ac:dyDescent="0.25">
      <c r="A299" s="17">
        <v>46163</v>
      </c>
      <c r="B299" t="s">
        <v>7</v>
      </c>
      <c r="C299" t="s">
        <v>42</v>
      </c>
      <c r="D299" t="s">
        <v>52</v>
      </c>
      <c r="E299" t="s">
        <v>13</v>
      </c>
      <c r="F299" t="s">
        <v>19</v>
      </c>
      <c r="G299" t="s">
        <v>53</v>
      </c>
      <c r="H299" t="s">
        <v>25</v>
      </c>
      <c r="I299" t="s">
        <v>37</v>
      </c>
      <c r="J299">
        <v>1</v>
      </c>
      <c r="K299" t="s">
        <v>81</v>
      </c>
      <c r="L299">
        <v>32</v>
      </c>
      <c r="M299">
        <v>14</v>
      </c>
      <c r="N299">
        <v>32</v>
      </c>
      <c r="O299">
        <v>14</v>
      </c>
      <c r="P299">
        <v>18</v>
      </c>
      <c r="Q299" s="18">
        <v>0.5625</v>
      </c>
    </row>
    <row r="300" spans="1:17" x14ac:dyDescent="0.25">
      <c r="A300" s="17">
        <v>46236</v>
      </c>
      <c r="B300" t="s">
        <v>51</v>
      </c>
      <c r="C300" t="s">
        <v>51</v>
      </c>
      <c r="D300" t="s">
        <v>33</v>
      </c>
      <c r="E300" t="s">
        <v>39</v>
      </c>
      <c r="F300" t="s">
        <v>19</v>
      </c>
      <c r="G300" t="s">
        <v>49</v>
      </c>
      <c r="H300" t="s">
        <v>69</v>
      </c>
      <c r="I300" t="s">
        <v>46</v>
      </c>
      <c r="J300">
        <v>14</v>
      </c>
      <c r="K300" t="s">
        <v>81</v>
      </c>
      <c r="L300">
        <v>54</v>
      </c>
      <c r="M300">
        <v>28</v>
      </c>
      <c r="N300">
        <v>756</v>
      </c>
      <c r="O300">
        <v>392</v>
      </c>
      <c r="P300">
        <v>364</v>
      </c>
      <c r="Q300" s="18">
        <v>0.48148148148148101</v>
      </c>
    </row>
    <row r="301" spans="1:17" x14ac:dyDescent="0.25">
      <c r="A301" s="17">
        <v>46175</v>
      </c>
      <c r="B301" t="s">
        <v>67</v>
      </c>
      <c r="C301" t="s">
        <v>17</v>
      </c>
      <c r="D301" t="s">
        <v>23</v>
      </c>
      <c r="E301" t="s">
        <v>13</v>
      </c>
      <c r="F301" t="s">
        <v>14</v>
      </c>
      <c r="G301" t="s">
        <v>30</v>
      </c>
      <c r="H301" t="s">
        <v>57</v>
      </c>
      <c r="I301" t="s">
        <v>21</v>
      </c>
      <c r="J301">
        <v>7</v>
      </c>
      <c r="K301" t="s">
        <v>80</v>
      </c>
      <c r="L301">
        <v>119</v>
      </c>
      <c r="M301">
        <v>67</v>
      </c>
      <c r="N301">
        <v>833</v>
      </c>
      <c r="O301">
        <v>469</v>
      </c>
      <c r="P301">
        <v>364</v>
      </c>
      <c r="Q301" s="18">
        <v>0.436974789915966</v>
      </c>
    </row>
    <row r="302" spans="1:17" x14ac:dyDescent="0.25">
      <c r="A302" s="17">
        <v>46076</v>
      </c>
      <c r="B302" t="s">
        <v>27</v>
      </c>
      <c r="C302" t="s">
        <v>71</v>
      </c>
      <c r="D302" t="s">
        <v>72</v>
      </c>
      <c r="E302" t="s">
        <v>28</v>
      </c>
      <c r="F302" t="s">
        <v>9</v>
      </c>
      <c r="G302" t="s">
        <v>34</v>
      </c>
      <c r="H302" t="s">
        <v>10</v>
      </c>
      <c r="I302" t="s">
        <v>54</v>
      </c>
      <c r="J302">
        <v>6</v>
      </c>
      <c r="K302" t="s">
        <v>79</v>
      </c>
      <c r="L302">
        <v>76</v>
      </c>
      <c r="M302">
        <v>39</v>
      </c>
      <c r="N302">
        <v>456</v>
      </c>
      <c r="O302">
        <v>234</v>
      </c>
      <c r="P302">
        <v>222</v>
      </c>
      <c r="Q302" s="18">
        <v>0.48684210526315802</v>
      </c>
    </row>
    <row r="303" spans="1:17" x14ac:dyDescent="0.25">
      <c r="A303" s="17">
        <v>46177</v>
      </c>
      <c r="B303" t="s">
        <v>51</v>
      </c>
      <c r="C303" t="s">
        <v>51</v>
      </c>
      <c r="D303" t="s">
        <v>68</v>
      </c>
      <c r="E303" t="s">
        <v>48</v>
      </c>
      <c r="F303" t="s">
        <v>19</v>
      </c>
      <c r="G303" t="s">
        <v>34</v>
      </c>
      <c r="H303" t="s">
        <v>10</v>
      </c>
      <c r="I303" t="s">
        <v>58</v>
      </c>
      <c r="J303">
        <v>6</v>
      </c>
      <c r="K303" t="s">
        <v>80</v>
      </c>
      <c r="L303">
        <v>54</v>
      </c>
      <c r="M303">
        <v>28</v>
      </c>
      <c r="N303">
        <v>324</v>
      </c>
      <c r="O303">
        <v>168</v>
      </c>
      <c r="P303">
        <v>156</v>
      </c>
      <c r="Q303" s="18">
        <v>0.48148148148148101</v>
      </c>
    </row>
    <row r="304" spans="1:17" x14ac:dyDescent="0.25">
      <c r="A304" s="17">
        <v>46161</v>
      </c>
      <c r="B304" t="s">
        <v>74</v>
      </c>
      <c r="C304" t="s">
        <v>32</v>
      </c>
      <c r="D304" t="s">
        <v>23</v>
      </c>
      <c r="E304" t="s">
        <v>13</v>
      </c>
      <c r="F304" t="s">
        <v>19</v>
      </c>
      <c r="G304" t="s">
        <v>10</v>
      </c>
      <c r="H304" t="s">
        <v>10</v>
      </c>
      <c r="I304" t="s">
        <v>58</v>
      </c>
      <c r="J304">
        <v>4</v>
      </c>
      <c r="K304" t="s">
        <v>79</v>
      </c>
      <c r="L304">
        <v>105</v>
      </c>
      <c r="M304">
        <v>58</v>
      </c>
      <c r="N304">
        <v>420</v>
      </c>
      <c r="O304">
        <v>232</v>
      </c>
      <c r="P304">
        <v>188</v>
      </c>
      <c r="Q304" s="18">
        <v>0.44761904761904803</v>
      </c>
    </row>
    <row r="305" spans="1:17" x14ac:dyDescent="0.25">
      <c r="A305" s="17">
        <v>46200</v>
      </c>
      <c r="B305" t="s">
        <v>63</v>
      </c>
      <c r="C305" t="s">
        <v>76</v>
      </c>
      <c r="D305" t="s">
        <v>28</v>
      </c>
      <c r="E305" t="s">
        <v>28</v>
      </c>
      <c r="F305" t="s">
        <v>24</v>
      </c>
      <c r="G305" t="s">
        <v>15</v>
      </c>
      <c r="H305" t="s">
        <v>45</v>
      </c>
      <c r="I305" t="s">
        <v>37</v>
      </c>
      <c r="J305">
        <v>12</v>
      </c>
      <c r="K305" t="s">
        <v>81</v>
      </c>
      <c r="L305">
        <v>89</v>
      </c>
      <c r="M305">
        <v>47</v>
      </c>
      <c r="N305">
        <v>1068</v>
      </c>
      <c r="O305">
        <v>564</v>
      </c>
      <c r="P305">
        <v>504</v>
      </c>
      <c r="Q305" s="18">
        <v>0.47191011235955099</v>
      </c>
    </row>
    <row r="306" spans="1:17" x14ac:dyDescent="0.25">
      <c r="A306" s="17">
        <v>46025</v>
      </c>
      <c r="B306" t="s">
        <v>27</v>
      </c>
      <c r="C306" t="s">
        <v>71</v>
      </c>
      <c r="D306" t="s">
        <v>8</v>
      </c>
      <c r="E306" t="s">
        <v>39</v>
      </c>
      <c r="F306" t="s">
        <v>24</v>
      </c>
      <c r="G306" t="s">
        <v>34</v>
      </c>
      <c r="H306" t="s">
        <v>10</v>
      </c>
      <c r="I306" t="s">
        <v>31</v>
      </c>
      <c r="J306">
        <v>13</v>
      </c>
      <c r="K306" t="s">
        <v>80</v>
      </c>
      <c r="L306">
        <v>76</v>
      </c>
      <c r="M306">
        <v>39</v>
      </c>
      <c r="N306">
        <v>988</v>
      </c>
      <c r="O306">
        <v>507</v>
      </c>
      <c r="P306">
        <v>481</v>
      </c>
      <c r="Q306" s="18">
        <v>0.48684210526315802</v>
      </c>
    </row>
    <row r="307" spans="1:17" x14ac:dyDescent="0.25">
      <c r="A307" s="17">
        <v>46175</v>
      </c>
      <c r="B307" t="s">
        <v>22</v>
      </c>
      <c r="C307" t="s">
        <v>51</v>
      </c>
      <c r="D307" t="s">
        <v>33</v>
      </c>
      <c r="E307" t="s">
        <v>39</v>
      </c>
      <c r="F307" t="s">
        <v>19</v>
      </c>
      <c r="G307" t="s">
        <v>40</v>
      </c>
      <c r="H307" t="s">
        <v>25</v>
      </c>
      <c r="I307" t="s">
        <v>37</v>
      </c>
      <c r="J307">
        <v>6</v>
      </c>
      <c r="K307" t="s">
        <v>81</v>
      </c>
      <c r="L307">
        <v>54</v>
      </c>
      <c r="M307">
        <v>28</v>
      </c>
      <c r="N307">
        <v>324</v>
      </c>
      <c r="O307">
        <v>168</v>
      </c>
      <c r="P307">
        <v>156</v>
      </c>
      <c r="Q307" s="18">
        <v>0.48148148148148101</v>
      </c>
    </row>
    <row r="308" spans="1:17" x14ac:dyDescent="0.25">
      <c r="A308" s="17">
        <v>46127</v>
      </c>
      <c r="B308" t="s">
        <v>62</v>
      </c>
      <c r="C308" t="s">
        <v>62</v>
      </c>
      <c r="D308" t="s">
        <v>39</v>
      </c>
      <c r="E308" t="s">
        <v>39</v>
      </c>
      <c r="F308" t="s">
        <v>29</v>
      </c>
      <c r="G308" t="s">
        <v>69</v>
      </c>
      <c r="H308" t="s">
        <v>69</v>
      </c>
      <c r="I308" t="s">
        <v>35</v>
      </c>
      <c r="J308">
        <v>13</v>
      </c>
      <c r="K308" t="s">
        <v>80</v>
      </c>
      <c r="L308">
        <v>112</v>
      </c>
      <c r="M308">
        <v>64</v>
      </c>
      <c r="N308">
        <v>1456</v>
      </c>
      <c r="O308">
        <v>832</v>
      </c>
      <c r="P308">
        <v>624</v>
      </c>
      <c r="Q308" s="18">
        <v>0.42857142857142899</v>
      </c>
    </row>
    <row r="309" spans="1:17" x14ac:dyDescent="0.25">
      <c r="A309" s="17">
        <v>46120</v>
      </c>
      <c r="B309" t="s">
        <v>63</v>
      </c>
      <c r="C309" t="s">
        <v>76</v>
      </c>
      <c r="D309" t="s">
        <v>39</v>
      </c>
      <c r="E309" t="s">
        <v>39</v>
      </c>
      <c r="F309" t="s">
        <v>24</v>
      </c>
      <c r="G309" t="s">
        <v>49</v>
      </c>
      <c r="H309" t="s">
        <v>69</v>
      </c>
      <c r="I309" t="s">
        <v>46</v>
      </c>
      <c r="J309">
        <v>5</v>
      </c>
      <c r="K309" t="s">
        <v>81</v>
      </c>
      <c r="L309">
        <v>89</v>
      </c>
      <c r="M309">
        <v>47</v>
      </c>
      <c r="N309">
        <v>445</v>
      </c>
      <c r="O309">
        <v>235</v>
      </c>
      <c r="P309">
        <v>210</v>
      </c>
      <c r="Q309" s="18">
        <v>0.47191011235955099</v>
      </c>
    </row>
    <row r="310" spans="1:17" x14ac:dyDescent="0.25">
      <c r="A310" s="17">
        <v>46149</v>
      </c>
      <c r="B310" t="s">
        <v>51</v>
      </c>
      <c r="C310" t="s">
        <v>51</v>
      </c>
      <c r="D310" t="s">
        <v>13</v>
      </c>
      <c r="E310" t="s">
        <v>13</v>
      </c>
      <c r="F310" t="s">
        <v>14</v>
      </c>
      <c r="G310" t="s">
        <v>25</v>
      </c>
      <c r="H310" t="s">
        <v>25</v>
      </c>
      <c r="I310" t="s">
        <v>11</v>
      </c>
      <c r="J310">
        <v>2</v>
      </c>
      <c r="K310" t="s">
        <v>80</v>
      </c>
      <c r="L310">
        <v>54</v>
      </c>
      <c r="M310">
        <v>28</v>
      </c>
      <c r="N310">
        <v>108</v>
      </c>
      <c r="O310">
        <v>56</v>
      </c>
      <c r="P310">
        <v>52</v>
      </c>
      <c r="Q310" s="18">
        <v>0.48148148148148101</v>
      </c>
    </row>
    <row r="311" spans="1:17" x14ac:dyDescent="0.25">
      <c r="A311" s="17">
        <v>46171</v>
      </c>
      <c r="B311" t="s">
        <v>36</v>
      </c>
      <c r="C311" t="s">
        <v>62</v>
      </c>
      <c r="D311" t="s">
        <v>18</v>
      </c>
      <c r="E311" t="s">
        <v>48</v>
      </c>
      <c r="F311" t="s">
        <v>19</v>
      </c>
      <c r="G311" t="s">
        <v>30</v>
      </c>
      <c r="H311" t="s">
        <v>57</v>
      </c>
      <c r="I311" t="s">
        <v>46</v>
      </c>
      <c r="J311">
        <v>7</v>
      </c>
      <c r="K311" t="s">
        <v>80</v>
      </c>
      <c r="L311">
        <v>112</v>
      </c>
      <c r="M311">
        <v>64</v>
      </c>
      <c r="N311">
        <v>784</v>
      </c>
      <c r="O311">
        <v>448</v>
      </c>
      <c r="P311">
        <v>336</v>
      </c>
      <c r="Q311" s="18">
        <v>0.42857142857142899</v>
      </c>
    </row>
    <row r="312" spans="1:17" x14ac:dyDescent="0.25">
      <c r="A312" s="17">
        <v>46112</v>
      </c>
      <c r="B312" t="s">
        <v>76</v>
      </c>
      <c r="C312" t="s">
        <v>76</v>
      </c>
      <c r="D312" t="s">
        <v>23</v>
      </c>
      <c r="E312" t="s">
        <v>13</v>
      </c>
      <c r="F312" t="s">
        <v>24</v>
      </c>
      <c r="G312" t="s">
        <v>20</v>
      </c>
      <c r="H312" t="s">
        <v>69</v>
      </c>
      <c r="I312" t="s">
        <v>37</v>
      </c>
      <c r="J312">
        <v>9</v>
      </c>
      <c r="K312" t="s">
        <v>81</v>
      </c>
      <c r="L312">
        <v>89</v>
      </c>
      <c r="M312">
        <v>47</v>
      </c>
      <c r="N312">
        <v>801</v>
      </c>
      <c r="O312">
        <v>423</v>
      </c>
      <c r="P312">
        <v>378</v>
      </c>
      <c r="Q312" s="18">
        <v>0.47191011235955099</v>
      </c>
    </row>
    <row r="313" spans="1:17" x14ac:dyDescent="0.25">
      <c r="A313" s="17">
        <v>46144</v>
      </c>
      <c r="B313" t="s">
        <v>38</v>
      </c>
      <c r="C313" t="s">
        <v>76</v>
      </c>
      <c r="D313" t="s">
        <v>39</v>
      </c>
      <c r="E313" t="s">
        <v>39</v>
      </c>
      <c r="F313" t="s">
        <v>29</v>
      </c>
      <c r="G313" t="s">
        <v>25</v>
      </c>
      <c r="H313" t="s">
        <v>25</v>
      </c>
      <c r="I313" t="s">
        <v>16</v>
      </c>
      <c r="J313">
        <v>6</v>
      </c>
      <c r="K313" t="s">
        <v>79</v>
      </c>
      <c r="L313">
        <v>89</v>
      </c>
      <c r="M313">
        <v>47</v>
      </c>
      <c r="N313">
        <v>534</v>
      </c>
      <c r="O313">
        <v>282</v>
      </c>
      <c r="P313">
        <v>252</v>
      </c>
      <c r="Q313" s="18">
        <v>0.47191011235955099</v>
      </c>
    </row>
    <row r="314" spans="1:17" x14ac:dyDescent="0.25">
      <c r="A314" s="17">
        <v>46142</v>
      </c>
      <c r="B314" t="s">
        <v>62</v>
      </c>
      <c r="C314" t="s">
        <v>62</v>
      </c>
      <c r="D314" t="s">
        <v>18</v>
      </c>
      <c r="E314" t="s">
        <v>48</v>
      </c>
      <c r="F314" t="s">
        <v>9</v>
      </c>
      <c r="G314" t="s">
        <v>73</v>
      </c>
      <c r="H314" t="s">
        <v>57</v>
      </c>
      <c r="I314" t="s">
        <v>35</v>
      </c>
      <c r="J314">
        <v>10</v>
      </c>
      <c r="K314" t="s">
        <v>82</v>
      </c>
      <c r="L314">
        <v>112</v>
      </c>
      <c r="M314">
        <v>64</v>
      </c>
      <c r="N314">
        <v>1120</v>
      </c>
      <c r="O314">
        <v>640</v>
      </c>
      <c r="P314">
        <v>480</v>
      </c>
      <c r="Q314" s="18">
        <v>0.42857142857142899</v>
      </c>
    </row>
    <row r="315" spans="1:17" x14ac:dyDescent="0.25">
      <c r="A315" s="17">
        <v>46221</v>
      </c>
      <c r="B315" t="s">
        <v>64</v>
      </c>
      <c r="C315" t="s">
        <v>42</v>
      </c>
      <c r="D315" t="s">
        <v>18</v>
      </c>
      <c r="E315" t="s">
        <v>48</v>
      </c>
      <c r="F315" t="s">
        <v>14</v>
      </c>
      <c r="G315" t="s">
        <v>73</v>
      </c>
      <c r="H315" t="s">
        <v>57</v>
      </c>
      <c r="I315" t="s">
        <v>43</v>
      </c>
      <c r="J315">
        <v>1</v>
      </c>
      <c r="K315" t="s">
        <v>80</v>
      </c>
      <c r="L315">
        <v>32</v>
      </c>
      <c r="M315">
        <v>14</v>
      </c>
      <c r="N315">
        <v>32</v>
      </c>
      <c r="O315">
        <v>14</v>
      </c>
      <c r="P315">
        <v>18</v>
      </c>
      <c r="Q315" s="18">
        <v>0.5625</v>
      </c>
    </row>
    <row r="316" spans="1:17" x14ac:dyDescent="0.25">
      <c r="A316" s="17">
        <v>46152</v>
      </c>
      <c r="B316" t="s">
        <v>32</v>
      </c>
      <c r="C316" t="s">
        <v>32</v>
      </c>
      <c r="D316" t="s">
        <v>13</v>
      </c>
      <c r="E316" t="s">
        <v>13</v>
      </c>
      <c r="F316" t="s">
        <v>14</v>
      </c>
      <c r="G316" t="s">
        <v>25</v>
      </c>
      <c r="H316" t="s">
        <v>25</v>
      </c>
      <c r="I316" t="s">
        <v>16</v>
      </c>
      <c r="J316">
        <v>13</v>
      </c>
      <c r="K316" t="s">
        <v>81</v>
      </c>
      <c r="L316">
        <v>105</v>
      </c>
      <c r="M316">
        <v>58</v>
      </c>
      <c r="N316">
        <v>1365</v>
      </c>
      <c r="O316">
        <v>754</v>
      </c>
      <c r="P316">
        <v>611</v>
      </c>
      <c r="Q316" s="18">
        <v>0.44761904761904803</v>
      </c>
    </row>
    <row r="317" spans="1:17" x14ac:dyDescent="0.25">
      <c r="A317" s="17">
        <v>46070</v>
      </c>
      <c r="B317" t="s">
        <v>22</v>
      </c>
      <c r="C317" t="s">
        <v>51</v>
      </c>
      <c r="D317" t="s">
        <v>39</v>
      </c>
      <c r="E317" t="s">
        <v>39</v>
      </c>
      <c r="F317" t="s">
        <v>14</v>
      </c>
      <c r="G317" t="s">
        <v>10</v>
      </c>
      <c r="H317" t="s">
        <v>10</v>
      </c>
      <c r="I317" t="s">
        <v>21</v>
      </c>
      <c r="J317">
        <v>9</v>
      </c>
      <c r="K317" t="s">
        <v>81</v>
      </c>
      <c r="L317">
        <v>54</v>
      </c>
      <c r="M317">
        <v>28</v>
      </c>
      <c r="N317">
        <v>486</v>
      </c>
      <c r="O317">
        <v>252</v>
      </c>
      <c r="P317">
        <v>234</v>
      </c>
      <c r="Q317" s="18">
        <v>0.48148148148148101</v>
      </c>
    </row>
    <row r="318" spans="1:17" x14ac:dyDescent="0.25">
      <c r="A318" s="17">
        <v>46178</v>
      </c>
      <c r="B318" t="s">
        <v>17</v>
      </c>
      <c r="C318" t="s">
        <v>17</v>
      </c>
      <c r="D318" t="s">
        <v>52</v>
      </c>
      <c r="E318" t="s">
        <v>13</v>
      </c>
      <c r="F318" t="s">
        <v>29</v>
      </c>
      <c r="G318" t="s">
        <v>34</v>
      </c>
      <c r="H318" t="s">
        <v>10</v>
      </c>
      <c r="I318" t="s">
        <v>54</v>
      </c>
      <c r="J318">
        <v>15</v>
      </c>
      <c r="K318" t="s">
        <v>81</v>
      </c>
      <c r="L318">
        <v>119</v>
      </c>
      <c r="M318">
        <v>67</v>
      </c>
      <c r="N318">
        <v>1785</v>
      </c>
      <c r="O318">
        <v>1005</v>
      </c>
      <c r="P318">
        <v>780</v>
      </c>
      <c r="Q318" s="18">
        <v>0.436974789915966</v>
      </c>
    </row>
    <row r="319" spans="1:17" x14ac:dyDescent="0.25">
      <c r="A319" s="17">
        <v>46047</v>
      </c>
      <c r="B319" t="s">
        <v>44</v>
      </c>
      <c r="C319" t="s">
        <v>65</v>
      </c>
      <c r="D319" t="s">
        <v>68</v>
      </c>
      <c r="E319" t="s">
        <v>48</v>
      </c>
      <c r="F319" t="s">
        <v>19</v>
      </c>
      <c r="G319" t="s">
        <v>53</v>
      </c>
      <c r="H319" t="s">
        <v>25</v>
      </c>
      <c r="I319" t="s">
        <v>21</v>
      </c>
      <c r="J319">
        <v>14</v>
      </c>
      <c r="K319" t="s">
        <v>80</v>
      </c>
      <c r="L319">
        <v>128</v>
      </c>
      <c r="M319">
        <v>72</v>
      </c>
      <c r="N319">
        <v>1792</v>
      </c>
      <c r="O319">
        <v>1008</v>
      </c>
      <c r="P319">
        <v>784</v>
      </c>
      <c r="Q319" s="18">
        <v>0.4375</v>
      </c>
    </row>
    <row r="320" spans="1:17" x14ac:dyDescent="0.25">
      <c r="A320" s="17">
        <v>46151</v>
      </c>
      <c r="B320" t="s">
        <v>63</v>
      </c>
      <c r="C320" t="s">
        <v>76</v>
      </c>
      <c r="D320" t="s">
        <v>48</v>
      </c>
      <c r="E320" t="s">
        <v>48</v>
      </c>
      <c r="F320" t="s">
        <v>24</v>
      </c>
      <c r="G320" t="s">
        <v>60</v>
      </c>
      <c r="H320" t="s">
        <v>10</v>
      </c>
      <c r="I320" t="s">
        <v>31</v>
      </c>
      <c r="J320">
        <v>15</v>
      </c>
      <c r="K320" t="s">
        <v>80</v>
      </c>
      <c r="L320">
        <v>89</v>
      </c>
      <c r="M320">
        <v>47</v>
      </c>
      <c r="N320">
        <v>1335</v>
      </c>
      <c r="O320">
        <v>705</v>
      </c>
      <c r="P320">
        <v>630</v>
      </c>
      <c r="Q320" s="18">
        <v>0.47191011235955099</v>
      </c>
    </row>
    <row r="321" spans="1:17" x14ac:dyDescent="0.25">
      <c r="A321" s="17">
        <v>46103</v>
      </c>
      <c r="B321" t="s">
        <v>59</v>
      </c>
      <c r="C321" t="s">
        <v>32</v>
      </c>
      <c r="D321" t="s">
        <v>8</v>
      </c>
      <c r="E321" t="s">
        <v>39</v>
      </c>
      <c r="F321" t="s">
        <v>29</v>
      </c>
      <c r="G321" t="s">
        <v>34</v>
      </c>
      <c r="H321" t="s">
        <v>10</v>
      </c>
      <c r="I321" t="s">
        <v>31</v>
      </c>
      <c r="J321">
        <v>14</v>
      </c>
      <c r="K321" t="s">
        <v>80</v>
      </c>
      <c r="L321">
        <v>105</v>
      </c>
      <c r="M321">
        <v>58</v>
      </c>
      <c r="N321">
        <v>1470</v>
      </c>
      <c r="O321">
        <v>812</v>
      </c>
      <c r="P321">
        <v>658</v>
      </c>
      <c r="Q321" s="18">
        <v>0.44761904761904803</v>
      </c>
    </row>
    <row r="322" spans="1:17" x14ac:dyDescent="0.25">
      <c r="A322" s="17">
        <v>46192</v>
      </c>
      <c r="B322" t="s">
        <v>67</v>
      </c>
      <c r="C322" t="s">
        <v>17</v>
      </c>
      <c r="D322" t="s">
        <v>13</v>
      </c>
      <c r="E322" t="s">
        <v>13</v>
      </c>
      <c r="F322" t="s">
        <v>24</v>
      </c>
      <c r="G322" t="s">
        <v>60</v>
      </c>
      <c r="H322" t="s">
        <v>10</v>
      </c>
      <c r="I322" t="s">
        <v>43</v>
      </c>
      <c r="J322">
        <v>6</v>
      </c>
      <c r="K322" t="s">
        <v>81</v>
      </c>
      <c r="L322">
        <v>119</v>
      </c>
      <c r="M322">
        <v>67</v>
      </c>
      <c r="N322">
        <v>714</v>
      </c>
      <c r="O322">
        <v>402</v>
      </c>
      <c r="P322">
        <v>312</v>
      </c>
      <c r="Q322" s="18">
        <v>0.436974789915966</v>
      </c>
    </row>
    <row r="323" spans="1:17" x14ac:dyDescent="0.25">
      <c r="A323" s="17">
        <v>46037</v>
      </c>
      <c r="B323" t="s">
        <v>70</v>
      </c>
      <c r="C323" t="s">
        <v>51</v>
      </c>
      <c r="D323" t="s">
        <v>56</v>
      </c>
      <c r="E323" t="s">
        <v>28</v>
      </c>
      <c r="F323" t="s">
        <v>19</v>
      </c>
      <c r="G323" t="s">
        <v>69</v>
      </c>
      <c r="H323" t="s">
        <v>69</v>
      </c>
      <c r="I323" t="s">
        <v>26</v>
      </c>
      <c r="J323">
        <v>15</v>
      </c>
      <c r="K323" t="s">
        <v>82</v>
      </c>
      <c r="L323">
        <v>54</v>
      </c>
      <c r="M323">
        <v>28</v>
      </c>
      <c r="N323">
        <v>810</v>
      </c>
      <c r="O323">
        <v>420</v>
      </c>
      <c r="P323">
        <v>390</v>
      </c>
      <c r="Q323" s="18">
        <v>0.48148148148148101</v>
      </c>
    </row>
    <row r="324" spans="1:17" x14ac:dyDescent="0.25">
      <c r="A324" s="17">
        <v>46089</v>
      </c>
      <c r="B324" t="s">
        <v>55</v>
      </c>
      <c r="C324" t="s">
        <v>71</v>
      </c>
      <c r="D324" t="s">
        <v>48</v>
      </c>
      <c r="E324" t="s">
        <v>48</v>
      </c>
      <c r="F324" t="s">
        <v>9</v>
      </c>
      <c r="G324" t="s">
        <v>66</v>
      </c>
      <c r="H324" t="s">
        <v>45</v>
      </c>
      <c r="I324" t="s">
        <v>43</v>
      </c>
      <c r="J324">
        <v>6</v>
      </c>
      <c r="K324" t="s">
        <v>79</v>
      </c>
      <c r="L324">
        <v>76</v>
      </c>
      <c r="M324">
        <v>39</v>
      </c>
      <c r="N324">
        <v>456</v>
      </c>
      <c r="O324">
        <v>234</v>
      </c>
      <c r="P324">
        <v>222</v>
      </c>
      <c r="Q324" s="18">
        <v>0.48684210526315802</v>
      </c>
    </row>
    <row r="325" spans="1:17" x14ac:dyDescent="0.25">
      <c r="A325" s="17">
        <v>46096</v>
      </c>
      <c r="B325" t="s">
        <v>44</v>
      </c>
      <c r="C325" t="s">
        <v>65</v>
      </c>
      <c r="D325" t="s">
        <v>52</v>
      </c>
      <c r="E325" t="s">
        <v>13</v>
      </c>
      <c r="F325" t="s">
        <v>14</v>
      </c>
      <c r="G325" t="s">
        <v>25</v>
      </c>
      <c r="H325" t="s">
        <v>25</v>
      </c>
      <c r="I325" t="s">
        <v>31</v>
      </c>
      <c r="J325">
        <v>10</v>
      </c>
      <c r="K325" t="s">
        <v>79</v>
      </c>
      <c r="L325">
        <v>128</v>
      </c>
      <c r="M325">
        <v>72</v>
      </c>
      <c r="N325">
        <v>1280</v>
      </c>
      <c r="O325">
        <v>720</v>
      </c>
      <c r="P325">
        <v>560</v>
      </c>
      <c r="Q325" s="18">
        <v>0.4375</v>
      </c>
    </row>
    <row r="326" spans="1:17" x14ac:dyDescent="0.25">
      <c r="A326" s="17">
        <v>46124</v>
      </c>
      <c r="B326" t="s">
        <v>32</v>
      </c>
      <c r="C326" t="s">
        <v>32</v>
      </c>
      <c r="D326" t="s">
        <v>23</v>
      </c>
      <c r="E326" t="s">
        <v>13</v>
      </c>
      <c r="F326" t="s">
        <v>24</v>
      </c>
      <c r="G326" t="s">
        <v>10</v>
      </c>
      <c r="H326" t="s">
        <v>10</v>
      </c>
      <c r="I326" t="s">
        <v>41</v>
      </c>
      <c r="J326">
        <v>4</v>
      </c>
      <c r="K326" t="s">
        <v>80</v>
      </c>
      <c r="L326">
        <v>105</v>
      </c>
      <c r="M326">
        <v>58</v>
      </c>
      <c r="N326">
        <v>420</v>
      </c>
      <c r="O326">
        <v>232</v>
      </c>
      <c r="P326">
        <v>188</v>
      </c>
      <c r="Q326" s="18">
        <v>0.44761904761904803</v>
      </c>
    </row>
    <row r="327" spans="1:17" x14ac:dyDescent="0.25">
      <c r="A327" s="17">
        <v>46188</v>
      </c>
      <c r="B327" t="s">
        <v>70</v>
      </c>
      <c r="C327" t="s">
        <v>51</v>
      </c>
      <c r="D327" t="s">
        <v>39</v>
      </c>
      <c r="E327" t="s">
        <v>39</v>
      </c>
      <c r="F327" t="s">
        <v>24</v>
      </c>
      <c r="G327" t="s">
        <v>40</v>
      </c>
      <c r="H327" t="s">
        <v>25</v>
      </c>
      <c r="I327" t="s">
        <v>41</v>
      </c>
      <c r="J327">
        <v>11</v>
      </c>
      <c r="K327" t="s">
        <v>82</v>
      </c>
      <c r="L327">
        <v>54</v>
      </c>
      <c r="M327">
        <v>28</v>
      </c>
      <c r="N327">
        <v>594</v>
      </c>
      <c r="O327">
        <v>308</v>
      </c>
      <c r="P327">
        <v>286</v>
      </c>
      <c r="Q327" s="18">
        <v>0.48148148148148101</v>
      </c>
    </row>
    <row r="328" spans="1:17" x14ac:dyDescent="0.25">
      <c r="A328" s="17">
        <v>46214</v>
      </c>
      <c r="B328" t="s">
        <v>38</v>
      </c>
      <c r="C328" t="s">
        <v>76</v>
      </c>
      <c r="D328" t="s">
        <v>52</v>
      </c>
      <c r="E328" t="s">
        <v>13</v>
      </c>
      <c r="F328" t="s">
        <v>14</v>
      </c>
      <c r="G328" t="s">
        <v>53</v>
      </c>
      <c r="H328" t="s">
        <v>25</v>
      </c>
      <c r="I328" t="s">
        <v>61</v>
      </c>
      <c r="J328">
        <v>4</v>
      </c>
      <c r="K328" t="s">
        <v>79</v>
      </c>
      <c r="L328">
        <v>89</v>
      </c>
      <c r="M328">
        <v>47</v>
      </c>
      <c r="N328">
        <v>356</v>
      </c>
      <c r="O328">
        <v>188</v>
      </c>
      <c r="P328">
        <v>168</v>
      </c>
      <c r="Q328" s="18">
        <v>0.47191011235955099</v>
      </c>
    </row>
    <row r="329" spans="1:17" x14ac:dyDescent="0.25">
      <c r="A329" s="17">
        <v>46216</v>
      </c>
      <c r="B329" t="s">
        <v>75</v>
      </c>
      <c r="C329" t="s">
        <v>62</v>
      </c>
      <c r="D329" t="s">
        <v>23</v>
      </c>
      <c r="E329" t="s">
        <v>13</v>
      </c>
      <c r="F329" t="s">
        <v>24</v>
      </c>
      <c r="G329" t="s">
        <v>69</v>
      </c>
      <c r="H329" t="s">
        <v>69</v>
      </c>
      <c r="I329" t="s">
        <v>41</v>
      </c>
      <c r="J329">
        <v>10</v>
      </c>
      <c r="K329" t="s">
        <v>81</v>
      </c>
      <c r="L329">
        <v>112</v>
      </c>
      <c r="M329">
        <v>64</v>
      </c>
      <c r="N329">
        <v>1120</v>
      </c>
      <c r="O329">
        <v>640</v>
      </c>
      <c r="P329">
        <v>480</v>
      </c>
      <c r="Q329" s="18">
        <v>0.42857142857142899</v>
      </c>
    </row>
    <row r="330" spans="1:17" x14ac:dyDescent="0.25">
      <c r="A330" s="17">
        <v>46109</v>
      </c>
      <c r="B330" t="s">
        <v>64</v>
      </c>
      <c r="C330" t="s">
        <v>42</v>
      </c>
      <c r="D330" t="s">
        <v>39</v>
      </c>
      <c r="E330" t="s">
        <v>39</v>
      </c>
      <c r="F330" t="s">
        <v>9</v>
      </c>
      <c r="G330" t="s">
        <v>66</v>
      </c>
      <c r="H330" t="s">
        <v>45</v>
      </c>
      <c r="I330" t="s">
        <v>41</v>
      </c>
      <c r="J330">
        <v>3</v>
      </c>
      <c r="K330" t="s">
        <v>81</v>
      </c>
      <c r="L330">
        <v>32</v>
      </c>
      <c r="M330">
        <v>14</v>
      </c>
      <c r="N330">
        <v>96</v>
      </c>
      <c r="O330">
        <v>42</v>
      </c>
      <c r="P330">
        <v>54</v>
      </c>
      <c r="Q330" s="18">
        <v>0.5625</v>
      </c>
    </row>
    <row r="331" spans="1:17" x14ac:dyDescent="0.25">
      <c r="A331" s="17">
        <v>46047</v>
      </c>
      <c r="B331" t="s">
        <v>42</v>
      </c>
      <c r="C331" t="s">
        <v>42</v>
      </c>
      <c r="D331" t="s">
        <v>8</v>
      </c>
      <c r="E331" t="s">
        <v>39</v>
      </c>
      <c r="F331" t="s">
        <v>9</v>
      </c>
      <c r="G331" t="s">
        <v>10</v>
      </c>
      <c r="H331" t="s">
        <v>10</v>
      </c>
      <c r="I331" t="s">
        <v>21</v>
      </c>
      <c r="J331">
        <v>5</v>
      </c>
      <c r="K331" t="s">
        <v>81</v>
      </c>
      <c r="L331">
        <v>32</v>
      </c>
      <c r="M331">
        <v>14</v>
      </c>
      <c r="N331">
        <v>160</v>
      </c>
      <c r="O331">
        <v>70</v>
      </c>
      <c r="P331">
        <v>90</v>
      </c>
      <c r="Q331" s="18">
        <v>0.5625</v>
      </c>
    </row>
    <row r="332" spans="1:17" x14ac:dyDescent="0.25">
      <c r="A332" s="17">
        <v>46128</v>
      </c>
      <c r="B332" t="s">
        <v>63</v>
      </c>
      <c r="C332" t="s">
        <v>76</v>
      </c>
      <c r="D332" t="s">
        <v>39</v>
      </c>
      <c r="E332" t="s">
        <v>39</v>
      </c>
      <c r="F332" t="s">
        <v>9</v>
      </c>
      <c r="G332" t="s">
        <v>49</v>
      </c>
      <c r="H332" t="s">
        <v>69</v>
      </c>
      <c r="I332" t="s">
        <v>61</v>
      </c>
      <c r="J332">
        <v>10</v>
      </c>
      <c r="K332" t="s">
        <v>82</v>
      </c>
      <c r="L332">
        <v>89</v>
      </c>
      <c r="M332">
        <v>47</v>
      </c>
      <c r="N332">
        <v>890</v>
      </c>
      <c r="O332">
        <v>470</v>
      </c>
      <c r="P332">
        <v>420</v>
      </c>
      <c r="Q332" s="18">
        <v>0.47191011235955099</v>
      </c>
    </row>
    <row r="333" spans="1:17" x14ac:dyDescent="0.25">
      <c r="A333" s="17">
        <v>46041</v>
      </c>
      <c r="B333" t="s">
        <v>76</v>
      </c>
      <c r="C333" t="s">
        <v>76</v>
      </c>
      <c r="D333" t="s">
        <v>8</v>
      </c>
      <c r="E333" t="s">
        <v>39</v>
      </c>
      <c r="F333" t="s">
        <v>29</v>
      </c>
      <c r="G333" t="s">
        <v>10</v>
      </c>
      <c r="H333" t="s">
        <v>10</v>
      </c>
      <c r="I333" t="s">
        <v>43</v>
      </c>
      <c r="J333">
        <v>5</v>
      </c>
      <c r="K333" t="s">
        <v>82</v>
      </c>
      <c r="L333">
        <v>89</v>
      </c>
      <c r="M333">
        <v>47</v>
      </c>
      <c r="N333">
        <v>445</v>
      </c>
      <c r="O333">
        <v>235</v>
      </c>
      <c r="P333">
        <v>210</v>
      </c>
      <c r="Q333" s="18">
        <v>0.47191011235955099</v>
      </c>
    </row>
    <row r="334" spans="1:17" x14ac:dyDescent="0.25">
      <c r="A334" s="17">
        <v>46142</v>
      </c>
      <c r="B334" t="s">
        <v>65</v>
      </c>
      <c r="C334" t="s">
        <v>65</v>
      </c>
      <c r="D334" t="s">
        <v>13</v>
      </c>
      <c r="E334" t="s">
        <v>13</v>
      </c>
      <c r="F334" t="s">
        <v>29</v>
      </c>
      <c r="G334" t="s">
        <v>60</v>
      </c>
      <c r="H334" t="s">
        <v>10</v>
      </c>
      <c r="I334" t="s">
        <v>37</v>
      </c>
      <c r="J334">
        <v>7</v>
      </c>
      <c r="K334" t="s">
        <v>79</v>
      </c>
      <c r="L334">
        <v>128</v>
      </c>
      <c r="M334">
        <v>72</v>
      </c>
      <c r="N334">
        <v>896</v>
      </c>
      <c r="O334">
        <v>504</v>
      </c>
      <c r="P334">
        <v>392</v>
      </c>
      <c r="Q334" s="18">
        <v>0.4375</v>
      </c>
    </row>
    <row r="335" spans="1:17" x14ac:dyDescent="0.25">
      <c r="A335" s="17">
        <v>46167</v>
      </c>
      <c r="B335" t="s">
        <v>76</v>
      </c>
      <c r="C335" t="s">
        <v>76</v>
      </c>
      <c r="D335" t="s">
        <v>33</v>
      </c>
      <c r="E335" t="s">
        <v>39</v>
      </c>
      <c r="F335" t="s">
        <v>9</v>
      </c>
      <c r="G335" t="s">
        <v>69</v>
      </c>
      <c r="H335" t="s">
        <v>69</v>
      </c>
      <c r="I335" t="s">
        <v>31</v>
      </c>
      <c r="J335">
        <v>5</v>
      </c>
      <c r="K335" t="s">
        <v>81</v>
      </c>
      <c r="L335">
        <v>89</v>
      </c>
      <c r="M335">
        <v>47</v>
      </c>
      <c r="N335">
        <v>445</v>
      </c>
      <c r="O335">
        <v>235</v>
      </c>
      <c r="P335">
        <v>210</v>
      </c>
      <c r="Q335" s="18">
        <v>0.47191011235955099</v>
      </c>
    </row>
    <row r="336" spans="1:17" x14ac:dyDescent="0.25">
      <c r="A336" s="17">
        <v>46042</v>
      </c>
      <c r="B336" t="s">
        <v>42</v>
      </c>
      <c r="C336" t="s">
        <v>42</v>
      </c>
      <c r="D336" t="s">
        <v>23</v>
      </c>
      <c r="E336" t="s">
        <v>13</v>
      </c>
      <c r="F336" t="s">
        <v>29</v>
      </c>
      <c r="G336" t="s">
        <v>10</v>
      </c>
      <c r="H336" t="s">
        <v>10</v>
      </c>
      <c r="I336" t="s">
        <v>35</v>
      </c>
      <c r="J336">
        <v>4</v>
      </c>
      <c r="K336" t="s">
        <v>81</v>
      </c>
      <c r="L336">
        <v>32</v>
      </c>
      <c r="M336">
        <v>14</v>
      </c>
      <c r="N336">
        <v>128</v>
      </c>
      <c r="O336">
        <v>56</v>
      </c>
      <c r="P336">
        <v>72</v>
      </c>
      <c r="Q336" s="18">
        <v>0.5625</v>
      </c>
    </row>
    <row r="337" spans="1:17" x14ac:dyDescent="0.25">
      <c r="A337" s="17">
        <v>46173</v>
      </c>
      <c r="B337" t="s">
        <v>22</v>
      </c>
      <c r="C337" t="s">
        <v>51</v>
      </c>
      <c r="D337" t="s">
        <v>39</v>
      </c>
      <c r="E337" t="s">
        <v>39</v>
      </c>
      <c r="F337" t="s">
        <v>19</v>
      </c>
      <c r="G337" t="s">
        <v>34</v>
      </c>
      <c r="H337" t="s">
        <v>10</v>
      </c>
      <c r="I337" t="s">
        <v>58</v>
      </c>
      <c r="J337">
        <v>10</v>
      </c>
      <c r="K337" t="s">
        <v>79</v>
      </c>
      <c r="L337">
        <v>54</v>
      </c>
      <c r="M337">
        <v>28</v>
      </c>
      <c r="N337">
        <v>540</v>
      </c>
      <c r="O337">
        <v>280</v>
      </c>
      <c r="P337">
        <v>260</v>
      </c>
      <c r="Q337" s="18">
        <v>0.48148148148148101</v>
      </c>
    </row>
    <row r="338" spans="1:17" x14ac:dyDescent="0.25">
      <c r="A338" s="17">
        <v>46030</v>
      </c>
      <c r="B338" t="s">
        <v>64</v>
      </c>
      <c r="C338" t="s">
        <v>42</v>
      </c>
      <c r="D338" t="s">
        <v>52</v>
      </c>
      <c r="E338" t="s">
        <v>13</v>
      </c>
      <c r="F338" t="s">
        <v>29</v>
      </c>
      <c r="G338" t="s">
        <v>34</v>
      </c>
      <c r="H338" t="s">
        <v>10</v>
      </c>
      <c r="I338" t="s">
        <v>61</v>
      </c>
      <c r="J338">
        <v>12</v>
      </c>
      <c r="K338" t="s">
        <v>80</v>
      </c>
      <c r="L338">
        <v>32</v>
      </c>
      <c r="M338">
        <v>14</v>
      </c>
      <c r="N338">
        <v>384</v>
      </c>
      <c r="O338">
        <v>168</v>
      </c>
      <c r="P338">
        <v>216</v>
      </c>
      <c r="Q338" s="18">
        <v>0.5625</v>
      </c>
    </row>
    <row r="339" spans="1:17" x14ac:dyDescent="0.25">
      <c r="A339" s="17">
        <v>46157</v>
      </c>
      <c r="B339" t="s">
        <v>44</v>
      </c>
      <c r="C339" t="s">
        <v>65</v>
      </c>
      <c r="D339" t="s">
        <v>39</v>
      </c>
      <c r="E339" t="s">
        <v>39</v>
      </c>
      <c r="F339" t="s">
        <v>19</v>
      </c>
      <c r="G339" t="s">
        <v>60</v>
      </c>
      <c r="H339" t="s">
        <v>10</v>
      </c>
      <c r="I339" t="s">
        <v>31</v>
      </c>
      <c r="J339">
        <v>8</v>
      </c>
      <c r="K339" t="s">
        <v>79</v>
      </c>
      <c r="L339">
        <v>128</v>
      </c>
      <c r="M339">
        <v>72</v>
      </c>
      <c r="N339">
        <v>1024</v>
      </c>
      <c r="O339">
        <v>576</v>
      </c>
      <c r="P339">
        <v>448</v>
      </c>
      <c r="Q339" s="18">
        <v>0.4375</v>
      </c>
    </row>
    <row r="340" spans="1:17" x14ac:dyDescent="0.25">
      <c r="A340" s="17">
        <v>46035</v>
      </c>
      <c r="B340" t="s">
        <v>32</v>
      </c>
      <c r="C340" t="s">
        <v>32</v>
      </c>
      <c r="D340" t="s">
        <v>33</v>
      </c>
      <c r="E340" t="s">
        <v>39</v>
      </c>
      <c r="F340" t="s">
        <v>14</v>
      </c>
      <c r="G340" t="s">
        <v>30</v>
      </c>
      <c r="H340" t="s">
        <v>57</v>
      </c>
      <c r="I340" t="s">
        <v>16</v>
      </c>
      <c r="J340">
        <v>4</v>
      </c>
      <c r="K340" t="s">
        <v>82</v>
      </c>
      <c r="L340">
        <v>105</v>
      </c>
      <c r="M340">
        <v>58</v>
      </c>
      <c r="N340">
        <v>420</v>
      </c>
      <c r="O340">
        <v>232</v>
      </c>
      <c r="P340">
        <v>188</v>
      </c>
      <c r="Q340" s="18">
        <v>0.44761904761904803</v>
      </c>
    </row>
    <row r="341" spans="1:17" x14ac:dyDescent="0.25">
      <c r="A341" s="17">
        <v>46109</v>
      </c>
      <c r="B341" t="s">
        <v>44</v>
      </c>
      <c r="C341" t="s">
        <v>65</v>
      </c>
      <c r="D341" t="s">
        <v>48</v>
      </c>
      <c r="E341" t="s">
        <v>48</v>
      </c>
      <c r="F341" t="s">
        <v>29</v>
      </c>
      <c r="G341" t="s">
        <v>34</v>
      </c>
      <c r="H341" t="s">
        <v>10</v>
      </c>
      <c r="I341" t="s">
        <v>58</v>
      </c>
      <c r="J341">
        <v>13</v>
      </c>
      <c r="K341" t="s">
        <v>79</v>
      </c>
      <c r="L341">
        <v>128</v>
      </c>
      <c r="M341">
        <v>72</v>
      </c>
      <c r="N341">
        <v>1664</v>
      </c>
      <c r="O341">
        <v>936</v>
      </c>
      <c r="P341">
        <v>728</v>
      </c>
      <c r="Q341" s="18">
        <v>0.4375</v>
      </c>
    </row>
    <row r="342" spans="1:17" x14ac:dyDescent="0.25">
      <c r="A342" s="17">
        <v>46219</v>
      </c>
      <c r="B342" t="s">
        <v>55</v>
      </c>
      <c r="C342" t="s">
        <v>71</v>
      </c>
      <c r="D342" t="s">
        <v>39</v>
      </c>
      <c r="E342" t="s">
        <v>39</v>
      </c>
      <c r="F342" t="s">
        <v>14</v>
      </c>
      <c r="G342" t="s">
        <v>66</v>
      </c>
      <c r="H342" t="s">
        <v>45</v>
      </c>
      <c r="I342" t="s">
        <v>58</v>
      </c>
      <c r="J342">
        <v>14</v>
      </c>
      <c r="K342" t="s">
        <v>80</v>
      </c>
      <c r="L342">
        <v>76</v>
      </c>
      <c r="M342">
        <v>39</v>
      </c>
      <c r="N342">
        <v>1064</v>
      </c>
      <c r="O342">
        <v>546</v>
      </c>
      <c r="P342">
        <v>518</v>
      </c>
      <c r="Q342" s="18">
        <v>0.48684210526315802</v>
      </c>
    </row>
    <row r="343" spans="1:17" x14ac:dyDescent="0.25">
      <c r="A343" s="17">
        <v>46042</v>
      </c>
      <c r="B343" t="s">
        <v>55</v>
      </c>
      <c r="C343" t="s">
        <v>71</v>
      </c>
      <c r="D343" t="s">
        <v>56</v>
      </c>
      <c r="E343" t="s">
        <v>28</v>
      </c>
      <c r="F343" t="s">
        <v>29</v>
      </c>
      <c r="G343" t="s">
        <v>73</v>
      </c>
      <c r="H343" t="s">
        <v>57</v>
      </c>
      <c r="I343" t="s">
        <v>54</v>
      </c>
      <c r="J343">
        <v>1</v>
      </c>
      <c r="K343" t="s">
        <v>81</v>
      </c>
      <c r="L343">
        <v>76</v>
      </c>
      <c r="M343">
        <v>39</v>
      </c>
      <c r="N343">
        <v>76</v>
      </c>
      <c r="O343">
        <v>39</v>
      </c>
      <c r="P343">
        <v>37</v>
      </c>
      <c r="Q343" s="18">
        <v>0.48684210526315802</v>
      </c>
    </row>
    <row r="344" spans="1:17" x14ac:dyDescent="0.25">
      <c r="A344" s="17">
        <v>46227</v>
      </c>
      <c r="B344" t="s">
        <v>36</v>
      </c>
      <c r="C344" t="s">
        <v>62</v>
      </c>
      <c r="D344" t="s">
        <v>33</v>
      </c>
      <c r="E344" t="s">
        <v>39</v>
      </c>
      <c r="F344" t="s">
        <v>19</v>
      </c>
      <c r="G344" t="s">
        <v>66</v>
      </c>
      <c r="H344" t="s">
        <v>45</v>
      </c>
      <c r="I344" t="s">
        <v>37</v>
      </c>
      <c r="J344">
        <v>15</v>
      </c>
      <c r="K344" t="s">
        <v>81</v>
      </c>
      <c r="L344">
        <v>112</v>
      </c>
      <c r="M344">
        <v>64</v>
      </c>
      <c r="N344">
        <v>1680</v>
      </c>
      <c r="O344">
        <v>960</v>
      </c>
      <c r="P344">
        <v>720</v>
      </c>
      <c r="Q344" s="18">
        <v>0.42857142857142899</v>
      </c>
    </row>
    <row r="345" spans="1:17" x14ac:dyDescent="0.25">
      <c r="A345" s="17">
        <v>46180</v>
      </c>
      <c r="B345" t="s">
        <v>17</v>
      </c>
      <c r="C345" t="s">
        <v>17</v>
      </c>
      <c r="D345" t="s">
        <v>13</v>
      </c>
      <c r="E345" t="s">
        <v>13</v>
      </c>
      <c r="F345" t="s">
        <v>29</v>
      </c>
      <c r="G345" t="s">
        <v>60</v>
      </c>
      <c r="H345" t="s">
        <v>10</v>
      </c>
      <c r="I345" t="s">
        <v>43</v>
      </c>
      <c r="J345">
        <v>13</v>
      </c>
      <c r="K345" t="s">
        <v>79</v>
      </c>
      <c r="L345">
        <v>119</v>
      </c>
      <c r="M345">
        <v>67</v>
      </c>
      <c r="N345">
        <v>1547</v>
      </c>
      <c r="O345">
        <v>871</v>
      </c>
      <c r="P345">
        <v>676</v>
      </c>
      <c r="Q345" s="18">
        <v>0.436974789915966</v>
      </c>
    </row>
    <row r="346" spans="1:17" x14ac:dyDescent="0.25">
      <c r="A346" s="17">
        <v>46046</v>
      </c>
      <c r="B346" t="s">
        <v>44</v>
      </c>
      <c r="C346" t="s">
        <v>65</v>
      </c>
      <c r="D346" t="s">
        <v>33</v>
      </c>
      <c r="E346" t="s">
        <v>39</v>
      </c>
      <c r="F346" t="s">
        <v>24</v>
      </c>
      <c r="G346" t="s">
        <v>34</v>
      </c>
      <c r="H346" t="s">
        <v>10</v>
      </c>
      <c r="I346" t="s">
        <v>46</v>
      </c>
      <c r="J346">
        <v>8</v>
      </c>
      <c r="K346" t="s">
        <v>79</v>
      </c>
      <c r="L346">
        <v>128</v>
      </c>
      <c r="M346">
        <v>72</v>
      </c>
      <c r="N346">
        <v>1024</v>
      </c>
      <c r="O346">
        <v>576</v>
      </c>
      <c r="P346">
        <v>448</v>
      </c>
      <c r="Q346" s="18">
        <v>0.4375</v>
      </c>
    </row>
    <row r="347" spans="1:17" x14ac:dyDescent="0.25">
      <c r="A347" s="17">
        <v>46078</v>
      </c>
      <c r="B347" t="s">
        <v>55</v>
      </c>
      <c r="C347" t="s">
        <v>71</v>
      </c>
      <c r="D347" t="s">
        <v>56</v>
      </c>
      <c r="E347" t="s">
        <v>28</v>
      </c>
      <c r="F347" t="s">
        <v>29</v>
      </c>
      <c r="G347" t="s">
        <v>25</v>
      </c>
      <c r="H347" t="s">
        <v>25</v>
      </c>
      <c r="I347" t="s">
        <v>26</v>
      </c>
      <c r="J347">
        <v>8</v>
      </c>
      <c r="K347" t="s">
        <v>81</v>
      </c>
      <c r="L347">
        <v>76</v>
      </c>
      <c r="M347">
        <v>39</v>
      </c>
      <c r="N347">
        <v>608</v>
      </c>
      <c r="O347">
        <v>312</v>
      </c>
      <c r="P347">
        <v>296</v>
      </c>
      <c r="Q347" s="18">
        <v>0.48684210526315802</v>
      </c>
    </row>
    <row r="348" spans="1:17" x14ac:dyDescent="0.25">
      <c r="A348" s="17">
        <v>46142</v>
      </c>
      <c r="B348" t="s">
        <v>36</v>
      </c>
      <c r="C348" t="s">
        <v>62</v>
      </c>
      <c r="D348" t="s">
        <v>72</v>
      </c>
      <c r="E348" t="s">
        <v>28</v>
      </c>
      <c r="F348" t="s">
        <v>9</v>
      </c>
      <c r="G348" t="s">
        <v>49</v>
      </c>
      <c r="H348" t="s">
        <v>69</v>
      </c>
      <c r="I348" t="s">
        <v>46</v>
      </c>
      <c r="J348">
        <v>10</v>
      </c>
      <c r="K348" t="s">
        <v>82</v>
      </c>
      <c r="L348">
        <v>112</v>
      </c>
      <c r="M348">
        <v>64</v>
      </c>
      <c r="N348">
        <v>1120</v>
      </c>
      <c r="O348">
        <v>640</v>
      </c>
      <c r="P348">
        <v>480</v>
      </c>
      <c r="Q348" s="18">
        <v>0.42857142857142899</v>
      </c>
    </row>
    <row r="349" spans="1:17" x14ac:dyDescent="0.25">
      <c r="A349" s="17">
        <v>46025</v>
      </c>
      <c r="B349" t="s">
        <v>22</v>
      </c>
      <c r="C349" t="s">
        <v>51</v>
      </c>
      <c r="D349" t="s">
        <v>52</v>
      </c>
      <c r="E349" t="s">
        <v>13</v>
      </c>
      <c r="F349" t="s">
        <v>24</v>
      </c>
      <c r="G349" t="s">
        <v>10</v>
      </c>
      <c r="H349" t="s">
        <v>10</v>
      </c>
      <c r="I349" t="s">
        <v>16</v>
      </c>
      <c r="J349">
        <v>14</v>
      </c>
      <c r="K349" t="s">
        <v>81</v>
      </c>
      <c r="L349">
        <v>54</v>
      </c>
      <c r="M349">
        <v>28</v>
      </c>
      <c r="N349">
        <v>756</v>
      </c>
      <c r="O349">
        <v>392</v>
      </c>
      <c r="P349">
        <v>364</v>
      </c>
      <c r="Q349" s="18">
        <v>0.48148148148148101</v>
      </c>
    </row>
    <row r="350" spans="1:17" x14ac:dyDescent="0.25">
      <c r="A350" s="17">
        <v>46183</v>
      </c>
      <c r="B350" t="s">
        <v>51</v>
      </c>
      <c r="C350" t="s">
        <v>51</v>
      </c>
      <c r="D350" t="s">
        <v>18</v>
      </c>
      <c r="E350" t="s">
        <v>48</v>
      </c>
      <c r="F350" t="s">
        <v>14</v>
      </c>
      <c r="G350" t="s">
        <v>53</v>
      </c>
      <c r="H350" t="s">
        <v>25</v>
      </c>
      <c r="I350" t="s">
        <v>35</v>
      </c>
      <c r="J350">
        <v>1</v>
      </c>
      <c r="K350" t="s">
        <v>81</v>
      </c>
      <c r="L350">
        <v>54</v>
      </c>
      <c r="M350">
        <v>28</v>
      </c>
      <c r="N350">
        <v>54</v>
      </c>
      <c r="O350">
        <v>28</v>
      </c>
      <c r="P350">
        <v>26</v>
      </c>
      <c r="Q350" s="18">
        <v>0.48148148148148101</v>
      </c>
    </row>
    <row r="351" spans="1:17" x14ac:dyDescent="0.25">
      <c r="A351" s="17">
        <v>46080</v>
      </c>
      <c r="B351" t="s">
        <v>76</v>
      </c>
      <c r="C351" t="s">
        <v>76</v>
      </c>
      <c r="D351" t="s">
        <v>13</v>
      </c>
      <c r="E351" t="s">
        <v>13</v>
      </c>
      <c r="F351" t="s">
        <v>19</v>
      </c>
      <c r="G351" t="s">
        <v>73</v>
      </c>
      <c r="H351" t="s">
        <v>57</v>
      </c>
      <c r="I351" t="s">
        <v>26</v>
      </c>
      <c r="J351">
        <v>11</v>
      </c>
      <c r="K351" t="s">
        <v>80</v>
      </c>
      <c r="L351">
        <v>89</v>
      </c>
      <c r="M351">
        <v>47</v>
      </c>
      <c r="N351">
        <v>979</v>
      </c>
      <c r="O351">
        <v>517</v>
      </c>
      <c r="P351">
        <v>462</v>
      </c>
      <c r="Q351" s="18">
        <v>0.47191011235955099</v>
      </c>
    </row>
    <row r="352" spans="1:17" x14ac:dyDescent="0.25">
      <c r="A352" s="17">
        <v>46201</v>
      </c>
      <c r="B352" t="s">
        <v>27</v>
      </c>
      <c r="C352" t="s">
        <v>71</v>
      </c>
      <c r="D352" t="s">
        <v>56</v>
      </c>
      <c r="E352" t="s">
        <v>28</v>
      </c>
      <c r="F352" t="s">
        <v>24</v>
      </c>
      <c r="G352" t="s">
        <v>30</v>
      </c>
      <c r="H352" t="s">
        <v>57</v>
      </c>
      <c r="I352" t="s">
        <v>16</v>
      </c>
      <c r="J352">
        <v>8</v>
      </c>
      <c r="K352" t="s">
        <v>80</v>
      </c>
      <c r="L352">
        <v>76</v>
      </c>
      <c r="M352">
        <v>39</v>
      </c>
      <c r="N352">
        <v>608</v>
      </c>
      <c r="O352">
        <v>312</v>
      </c>
      <c r="P352">
        <v>296</v>
      </c>
      <c r="Q352" s="18">
        <v>0.48684210526315802</v>
      </c>
    </row>
    <row r="353" spans="1:17" x14ac:dyDescent="0.25">
      <c r="A353" s="17">
        <v>46058</v>
      </c>
      <c r="B353" t="s">
        <v>76</v>
      </c>
      <c r="C353" t="s">
        <v>76</v>
      </c>
      <c r="D353" t="s">
        <v>56</v>
      </c>
      <c r="E353" t="s">
        <v>28</v>
      </c>
      <c r="F353" t="s">
        <v>14</v>
      </c>
      <c r="G353" t="s">
        <v>60</v>
      </c>
      <c r="H353" t="s">
        <v>10</v>
      </c>
      <c r="I353" t="s">
        <v>37</v>
      </c>
      <c r="J353">
        <v>13</v>
      </c>
      <c r="K353" t="s">
        <v>81</v>
      </c>
      <c r="L353">
        <v>89</v>
      </c>
      <c r="M353">
        <v>47</v>
      </c>
      <c r="N353">
        <v>1157</v>
      </c>
      <c r="O353">
        <v>611</v>
      </c>
      <c r="P353">
        <v>546</v>
      </c>
      <c r="Q353" s="18">
        <v>0.47191011235955099</v>
      </c>
    </row>
    <row r="354" spans="1:17" x14ac:dyDescent="0.25">
      <c r="A354" s="17">
        <v>46129</v>
      </c>
      <c r="B354" t="s">
        <v>67</v>
      </c>
      <c r="C354" t="s">
        <v>17</v>
      </c>
      <c r="D354" t="s">
        <v>56</v>
      </c>
      <c r="E354" t="s">
        <v>28</v>
      </c>
      <c r="F354" t="s">
        <v>19</v>
      </c>
      <c r="G354" t="s">
        <v>57</v>
      </c>
      <c r="H354" t="s">
        <v>57</v>
      </c>
      <c r="I354" t="s">
        <v>26</v>
      </c>
      <c r="J354">
        <v>6</v>
      </c>
      <c r="K354" t="s">
        <v>79</v>
      </c>
      <c r="L354">
        <v>119</v>
      </c>
      <c r="M354">
        <v>67</v>
      </c>
      <c r="N354">
        <v>714</v>
      </c>
      <c r="O354">
        <v>402</v>
      </c>
      <c r="P354">
        <v>312</v>
      </c>
      <c r="Q354" s="18">
        <v>0.436974789915966</v>
      </c>
    </row>
    <row r="355" spans="1:17" x14ac:dyDescent="0.25">
      <c r="A355" s="17">
        <v>46242</v>
      </c>
      <c r="B355" t="s">
        <v>75</v>
      </c>
      <c r="C355" t="s">
        <v>62</v>
      </c>
      <c r="D355" t="s">
        <v>18</v>
      </c>
      <c r="E355" t="s">
        <v>48</v>
      </c>
      <c r="F355" t="s">
        <v>19</v>
      </c>
      <c r="G355" t="s">
        <v>25</v>
      </c>
      <c r="H355" t="s">
        <v>25</v>
      </c>
      <c r="I355" t="s">
        <v>16</v>
      </c>
      <c r="J355">
        <v>8</v>
      </c>
      <c r="K355" t="s">
        <v>79</v>
      </c>
      <c r="L355">
        <v>112</v>
      </c>
      <c r="M355">
        <v>64</v>
      </c>
      <c r="N355">
        <v>896</v>
      </c>
      <c r="O355">
        <v>512</v>
      </c>
      <c r="P355">
        <v>384</v>
      </c>
      <c r="Q355" s="18">
        <v>0.42857142857142899</v>
      </c>
    </row>
    <row r="356" spans="1:17" x14ac:dyDescent="0.25">
      <c r="A356" s="17">
        <v>46034</v>
      </c>
      <c r="B356" t="s">
        <v>70</v>
      </c>
      <c r="C356" t="s">
        <v>51</v>
      </c>
      <c r="D356" t="s">
        <v>39</v>
      </c>
      <c r="E356" t="s">
        <v>39</v>
      </c>
      <c r="F356" t="s">
        <v>24</v>
      </c>
      <c r="G356" t="s">
        <v>69</v>
      </c>
      <c r="H356" t="s">
        <v>69</v>
      </c>
      <c r="I356" t="s">
        <v>31</v>
      </c>
      <c r="J356">
        <v>13</v>
      </c>
      <c r="K356" t="s">
        <v>82</v>
      </c>
      <c r="L356">
        <v>54</v>
      </c>
      <c r="M356">
        <v>28</v>
      </c>
      <c r="N356">
        <v>702</v>
      </c>
      <c r="O356">
        <v>364</v>
      </c>
      <c r="P356">
        <v>338</v>
      </c>
      <c r="Q356" s="18">
        <v>0.48148148148148101</v>
      </c>
    </row>
    <row r="357" spans="1:17" x14ac:dyDescent="0.25">
      <c r="A357" s="17">
        <v>46218</v>
      </c>
      <c r="B357" t="s">
        <v>63</v>
      </c>
      <c r="C357" t="s">
        <v>76</v>
      </c>
      <c r="D357" t="s">
        <v>33</v>
      </c>
      <c r="E357" t="s">
        <v>39</v>
      </c>
      <c r="F357" t="s">
        <v>14</v>
      </c>
      <c r="G357" t="s">
        <v>53</v>
      </c>
      <c r="H357" t="s">
        <v>25</v>
      </c>
      <c r="I357" t="s">
        <v>50</v>
      </c>
      <c r="J357">
        <v>6</v>
      </c>
      <c r="K357" t="s">
        <v>79</v>
      </c>
      <c r="L357">
        <v>89</v>
      </c>
      <c r="M357">
        <v>47</v>
      </c>
      <c r="N357">
        <v>534</v>
      </c>
      <c r="O357">
        <v>282</v>
      </c>
      <c r="P357">
        <v>252</v>
      </c>
      <c r="Q357" s="18">
        <v>0.47191011235955099</v>
      </c>
    </row>
    <row r="358" spans="1:17" x14ac:dyDescent="0.25">
      <c r="A358" s="17">
        <v>46126</v>
      </c>
      <c r="B358" t="s">
        <v>74</v>
      </c>
      <c r="C358" t="s">
        <v>32</v>
      </c>
      <c r="D358" t="s">
        <v>33</v>
      </c>
      <c r="E358" t="s">
        <v>39</v>
      </c>
      <c r="F358" t="s">
        <v>14</v>
      </c>
      <c r="G358" t="s">
        <v>49</v>
      </c>
      <c r="H358" t="s">
        <v>69</v>
      </c>
      <c r="I358" t="s">
        <v>58</v>
      </c>
      <c r="J358">
        <v>5</v>
      </c>
      <c r="K358" t="s">
        <v>82</v>
      </c>
      <c r="L358">
        <v>105</v>
      </c>
      <c r="M358">
        <v>58</v>
      </c>
      <c r="N358">
        <v>525</v>
      </c>
      <c r="O358">
        <v>290</v>
      </c>
      <c r="P358">
        <v>235</v>
      </c>
      <c r="Q358" s="18">
        <v>0.44761904761904803</v>
      </c>
    </row>
    <row r="359" spans="1:17" x14ac:dyDescent="0.25">
      <c r="A359" s="17">
        <v>46204</v>
      </c>
      <c r="B359" t="s">
        <v>42</v>
      </c>
      <c r="C359" t="s">
        <v>42</v>
      </c>
      <c r="D359" t="s">
        <v>48</v>
      </c>
      <c r="E359" t="s">
        <v>48</v>
      </c>
      <c r="F359" t="s">
        <v>9</v>
      </c>
      <c r="G359" t="s">
        <v>20</v>
      </c>
      <c r="H359" t="s">
        <v>69</v>
      </c>
      <c r="I359" t="s">
        <v>61</v>
      </c>
      <c r="J359">
        <v>4</v>
      </c>
      <c r="K359" t="s">
        <v>82</v>
      </c>
      <c r="L359">
        <v>32</v>
      </c>
      <c r="M359">
        <v>14</v>
      </c>
      <c r="N359">
        <v>128</v>
      </c>
      <c r="O359">
        <v>56</v>
      </c>
      <c r="P359">
        <v>72</v>
      </c>
      <c r="Q359" s="18">
        <v>0.5625</v>
      </c>
    </row>
    <row r="360" spans="1:17" x14ac:dyDescent="0.25">
      <c r="A360" s="17">
        <v>46159</v>
      </c>
      <c r="B360" t="s">
        <v>63</v>
      </c>
      <c r="C360" t="s">
        <v>76</v>
      </c>
      <c r="D360" t="s">
        <v>56</v>
      </c>
      <c r="E360" t="s">
        <v>28</v>
      </c>
      <c r="F360" t="s">
        <v>29</v>
      </c>
      <c r="G360" t="s">
        <v>34</v>
      </c>
      <c r="H360" t="s">
        <v>10</v>
      </c>
      <c r="I360" t="s">
        <v>50</v>
      </c>
      <c r="J360">
        <v>3</v>
      </c>
      <c r="K360" t="s">
        <v>79</v>
      </c>
      <c r="L360">
        <v>89</v>
      </c>
      <c r="M360">
        <v>47</v>
      </c>
      <c r="N360">
        <v>267</v>
      </c>
      <c r="O360">
        <v>141</v>
      </c>
      <c r="P360">
        <v>126</v>
      </c>
      <c r="Q360" s="18">
        <v>0.47191011235955099</v>
      </c>
    </row>
    <row r="361" spans="1:17" x14ac:dyDescent="0.25">
      <c r="A361" s="17">
        <v>46130</v>
      </c>
      <c r="B361" t="s">
        <v>67</v>
      </c>
      <c r="C361" t="s">
        <v>17</v>
      </c>
      <c r="D361" t="s">
        <v>39</v>
      </c>
      <c r="E361" t="s">
        <v>39</v>
      </c>
      <c r="F361" t="s">
        <v>24</v>
      </c>
      <c r="G361" t="s">
        <v>34</v>
      </c>
      <c r="H361" t="s">
        <v>10</v>
      </c>
      <c r="I361" t="s">
        <v>31</v>
      </c>
      <c r="J361">
        <v>5</v>
      </c>
      <c r="K361" t="s">
        <v>80</v>
      </c>
      <c r="L361">
        <v>119</v>
      </c>
      <c r="M361">
        <v>67</v>
      </c>
      <c r="N361">
        <v>595</v>
      </c>
      <c r="O361">
        <v>335</v>
      </c>
      <c r="P361">
        <v>260</v>
      </c>
      <c r="Q361" s="18">
        <v>0.436974789915966</v>
      </c>
    </row>
    <row r="362" spans="1:17" x14ac:dyDescent="0.25">
      <c r="A362" s="17">
        <v>46224</v>
      </c>
      <c r="B362" t="s">
        <v>64</v>
      </c>
      <c r="C362" t="s">
        <v>42</v>
      </c>
      <c r="D362" t="s">
        <v>33</v>
      </c>
      <c r="E362" t="s">
        <v>39</v>
      </c>
      <c r="F362" t="s">
        <v>29</v>
      </c>
      <c r="G362" t="s">
        <v>40</v>
      </c>
      <c r="H362" t="s">
        <v>25</v>
      </c>
      <c r="I362" t="s">
        <v>21</v>
      </c>
      <c r="J362">
        <v>4</v>
      </c>
      <c r="K362" t="s">
        <v>80</v>
      </c>
      <c r="L362">
        <v>32</v>
      </c>
      <c r="M362">
        <v>14</v>
      </c>
      <c r="N362">
        <v>128</v>
      </c>
      <c r="O362">
        <v>56</v>
      </c>
      <c r="P362">
        <v>72</v>
      </c>
      <c r="Q362" s="18">
        <v>0.5625</v>
      </c>
    </row>
    <row r="363" spans="1:17" x14ac:dyDescent="0.25">
      <c r="A363" s="17">
        <v>46242</v>
      </c>
      <c r="B363" t="s">
        <v>64</v>
      </c>
      <c r="C363" t="s">
        <v>42</v>
      </c>
      <c r="D363" t="s">
        <v>23</v>
      </c>
      <c r="E363" t="s">
        <v>13</v>
      </c>
      <c r="F363" t="s">
        <v>14</v>
      </c>
      <c r="G363" t="s">
        <v>34</v>
      </c>
      <c r="H363" t="s">
        <v>10</v>
      </c>
      <c r="I363" t="s">
        <v>31</v>
      </c>
      <c r="J363">
        <v>7</v>
      </c>
      <c r="K363" t="s">
        <v>80</v>
      </c>
      <c r="L363">
        <v>32</v>
      </c>
      <c r="M363">
        <v>14</v>
      </c>
      <c r="N363">
        <v>224</v>
      </c>
      <c r="O363">
        <v>98</v>
      </c>
      <c r="P363">
        <v>126</v>
      </c>
      <c r="Q363" s="18">
        <v>0.5625</v>
      </c>
    </row>
    <row r="364" spans="1:17" x14ac:dyDescent="0.25">
      <c r="A364" s="17">
        <v>46114</v>
      </c>
      <c r="B364" t="s">
        <v>70</v>
      </c>
      <c r="C364" t="s">
        <v>51</v>
      </c>
      <c r="D364" t="s">
        <v>56</v>
      </c>
      <c r="E364" t="s">
        <v>28</v>
      </c>
      <c r="F364" t="s">
        <v>29</v>
      </c>
      <c r="G364" t="s">
        <v>34</v>
      </c>
      <c r="H364" t="s">
        <v>10</v>
      </c>
      <c r="I364" t="s">
        <v>31</v>
      </c>
      <c r="J364">
        <v>6</v>
      </c>
      <c r="K364" t="s">
        <v>80</v>
      </c>
      <c r="L364">
        <v>54</v>
      </c>
      <c r="M364">
        <v>28</v>
      </c>
      <c r="N364">
        <v>324</v>
      </c>
      <c r="O364">
        <v>168</v>
      </c>
      <c r="P364">
        <v>156</v>
      </c>
      <c r="Q364" s="18">
        <v>0.48148148148148101</v>
      </c>
    </row>
    <row r="365" spans="1:17" x14ac:dyDescent="0.25">
      <c r="A365" s="17">
        <v>46231</v>
      </c>
      <c r="B365" t="s">
        <v>42</v>
      </c>
      <c r="C365" t="s">
        <v>42</v>
      </c>
      <c r="D365" t="s">
        <v>8</v>
      </c>
      <c r="E365" t="s">
        <v>39</v>
      </c>
      <c r="F365" t="s">
        <v>14</v>
      </c>
      <c r="G365" t="s">
        <v>40</v>
      </c>
      <c r="H365" t="s">
        <v>25</v>
      </c>
      <c r="I365" t="s">
        <v>46</v>
      </c>
      <c r="J365">
        <v>7</v>
      </c>
      <c r="K365" t="s">
        <v>81</v>
      </c>
      <c r="L365">
        <v>32</v>
      </c>
      <c r="M365">
        <v>14</v>
      </c>
      <c r="N365">
        <v>224</v>
      </c>
      <c r="O365">
        <v>98</v>
      </c>
      <c r="P365">
        <v>126</v>
      </c>
      <c r="Q365" s="18">
        <v>0.5625</v>
      </c>
    </row>
    <row r="366" spans="1:17" x14ac:dyDescent="0.25">
      <c r="A366" s="17">
        <v>46087</v>
      </c>
      <c r="B366" t="s">
        <v>51</v>
      </c>
      <c r="C366" t="s">
        <v>51</v>
      </c>
      <c r="D366" t="s">
        <v>39</v>
      </c>
      <c r="E366" t="s">
        <v>39</v>
      </c>
      <c r="F366" t="s">
        <v>24</v>
      </c>
      <c r="G366" t="s">
        <v>45</v>
      </c>
      <c r="H366" t="s">
        <v>45</v>
      </c>
      <c r="I366" t="s">
        <v>37</v>
      </c>
      <c r="J366">
        <v>12</v>
      </c>
      <c r="K366" t="s">
        <v>79</v>
      </c>
      <c r="L366">
        <v>54</v>
      </c>
      <c r="M366">
        <v>28</v>
      </c>
      <c r="N366">
        <v>648</v>
      </c>
      <c r="O366">
        <v>336</v>
      </c>
      <c r="P366">
        <v>312</v>
      </c>
      <c r="Q366" s="18">
        <v>0.48148148148148101</v>
      </c>
    </row>
    <row r="367" spans="1:17" x14ac:dyDescent="0.25">
      <c r="A367" s="17">
        <v>46228</v>
      </c>
      <c r="B367" t="s">
        <v>47</v>
      </c>
      <c r="C367" t="s">
        <v>17</v>
      </c>
      <c r="D367" t="s">
        <v>13</v>
      </c>
      <c r="E367" t="s">
        <v>13</v>
      </c>
      <c r="F367" t="s">
        <v>29</v>
      </c>
      <c r="G367" t="s">
        <v>25</v>
      </c>
      <c r="H367" t="s">
        <v>25</v>
      </c>
      <c r="I367" t="s">
        <v>37</v>
      </c>
      <c r="J367">
        <v>10</v>
      </c>
      <c r="K367" t="s">
        <v>82</v>
      </c>
      <c r="L367">
        <v>119</v>
      </c>
      <c r="M367">
        <v>67</v>
      </c>
      <c r="N367">
        <v>1190</v>
      </c>
      <c r="O367">
        <v>670</v>
      </c>
      <c r="P367">
        <v>520</v>
      </c>
      <c r="Q367" s="18">
        <v>0.436974789915966</v>
      </c>
    </row>
    <row r="368" spans="1:17" x14ac:dyDescent="0.25">
      <c r="A368" s="17">
        <v>46223</v>
      </c>
      <c r="B368" t="s">
        <v>51</v>
      </c>
      <c r="C368" t="s">
        <v>51</v>
      </c>
      <c r="D368" t="s">
        <v>33</v>
      </c>
      <c r="E368" t="s">
        <v>39</v>
      </c>
      <c r="F368" t="s">
        <v>14</v>
      </c>
      <c r="G368" t="s">
        <v>10</v>
      </c>
      <c r="H368" t="s">
        <v>10</v>
      </c>
      <c r="I368" t="s">
        <v>26</v>
      </c>
      <c r="J368">
        <v>6</v>
      </c>
      <c r="K368" t="s">
        <v>80</v>
      </c>
      <c r="L368">
        <v>54</v>
      </c>
      <c r="M368">
        <v>28</v>
      </c>
      <c r="N368">
        <v>324</v>
      </c>
      <c r="O368">
        <v>168</v>
      </c>
      <c r="P368">
        <v>156</v>
      </c>
      <c r="Q368" s="18">
        <v>0.48148148148148101</v>
      </c>
    </row>
    <row r="369" spans="1:17" x14ac:dyDescent="0.25">
      <c r="A369" s="17">
        <v>46106</v>
      </c>
      <c r="B369" t="s">
        <v>7</v>
      </c>
      <c r="C369" t="s">
        <v>42</v>
      </c>
      <c r="D369" t="s">
        <v>33</v>
      </c>
      <c r="E369" t="s">
        <v>39</v>
      </c>
      <c r="F369" t="s">
        <v>24</v>
      </c>
      <c r="G369" t="s">
        <v>30</v>
      </c>
      <c r="H369" t="s">
        <v>57</v>
      </c>
      <c r="I369" t="s">
        <v>26</v>
      </c>
      <c r="J369">
        <v>15</v>
      </c>
      <c r="K369" t="s">
        <v>81</v>
      </c>
      <c r="L369">
        <v>32</v>
      </c>
      <c r="M369">
        <v>14</v>
      </c>
      <c r="N369">
        <v>480</v>
      </c>
      <c r="O369">
        <v>210</v>
      </c>
      <c r="P369">
        <v>270</v>
      </c>
      <c r="Q369" s="18">
        <v>0.5625</v>
      </c>
    </row>
    <row r="370" spans="1:17" x14ac:dyDescent="0.25">
      <c r="A370" s="17">
        <v>46050</v>
      </c>
      <c r="B370" t="s">
        <v>12</v>
      </c>
      <c r="C370" t="s">
        <v>65</v>
      </c>
      <c r="D370" t="s">
        <v>39</v>
      </c>
      <c r="E370" t="s">
        <v>39</v>
      </c>
      <c r="F370" t="s">
        <v>19</v>
      </c>
      <c r="G370" t="s">
        <v>45</v>
      </c>
      <c r="H370" t="s">
        <v>45</v>
      </c>
      <c r="I370" t="s">
        <v>61</v>
      </c>
      <c r="J370">
        <v>3</v>
      </c>
      <c r="K370" t="s">
        <v>82</v>
      </c>
      <c r="L370">
        <v>128</v>
      </c>
      <c r="M370">
        <v>72</v>
      </c>
      <c r="N370">
        <v>384</v>
      </c>
      <c r="O370">
        <v>216</v>
      </c>
      <c r="P370">
        <v>168</v>
      </c>
      <c r="Q370" s="18">
        <v>0.4375</v>
      </c>
    </row>
    <row r="371" spans="1:17" x14ac:dyDescent="0.25">
      <c r="A371" s="17">
        <v>46117</v>
      </c>
      <c r="B371" t="s">
        <v>67</v>
      </c>
      <c r="C371" t="s">
        <v>17</v>
      </c>
      <c r="D371" t="s">
        <v>13</v>
      </c>
      <c r="E371" t="s">
        <v>13</v>
      </c>
      <c r="F371" t="s">
        <v>9</v>
      </c>
      <c r="G371" t="s">
        <v>57</v>
      </c>
      <c r="H371" t="s">
        <v>57</v>
      </c>
      <c r="I371" t="s">
        <v>54</v>
      </c>
      <c r="J371">
        <v>1</v>
      </c>
      <c r="K371" t="s">
        <v>80</v>
      </c>
      <c r="L371">
        <v>119</v>
      </c>
      <c r="M371">
        <v>67</v>
      </c>
      <c r="N371">
        <v>119</v>
      </c>
      <c r="O371">
        <v>67</v>
      </c>
      <c r="P371">
        <v>52</v>
      </c>
      <c r="Q371" s="18">
        <v>0.436974789915966</v>
      </c>
    </row>
    <row r="372" spans="1:17" x14ac:dyDescent="0.25">
      <c r="A372" s="17">
        <v>46246</v>
      </c>
      <c r="B372" t="s">
        <v>65</v>
      </c>
      <c r="C372" t="s">
        <v>65</v>
      </c>
      <c r="D372" t="s">
        <v>8</v>
      </c>
      <c r="E372" t="s">
        <v>39</v>
      </c>
      <c r="F372" t="s">
        <v>9</v>
      </c>
      <c r="G372" t="s">
        <v>34</v>
      </c>
      <c r="H372" t="s">
        <v>10</v>
      </c>
      <c r="I372" t="s">
        <v>37</v>
      </c>
      <c r="J372">
        <v>9</v>
      </c>
      <c r="K372" t="s">
        <v>79</v>
      </c>
      <c r="L372">
        <v>128</v>
      </c>
      <c r="M372">
        <v>72</v>
      </c>
      <c r="N372">
        <v>1152</v>
      </c>
      <c r="O372">
        <v>648</v>
      </c>
      <c r="P372">
        <v>504</v>
      </c>
      <c r="Q372" s="18">
        <v>0.4375</v>
      </c>
    </row>
    <row r="373" spans="1:17" x14ac:dyDescent="0.25">
      <c r="A373" s="17">
        <v>46199</v>
      </c>
      <c r="B373" t="s">
        <v>32</v>
      </c>
      <c r="C373" t="s">
        <v>32</v>
      </c>
      <c r="D373" t="s">
        <v>39</v>
      </c>
      <c r="E373" t="s">
        <v>39</v>
      </c>
      <c r="F373" t="s">
        <v>19</v>
      </c>
      <c r="G373" t="s">
        <v>53</v>
      </c>
      <c r="H373" t="s">
        <v>25</v>
      </c>
      <c r="I373" t="s">
        <v>58</v>
      </c>
      <c r="J373">
        <v>7</v>
      </c>
      <c r="K373" t="s">
        <v>80</v>
      </c>
      <c r="L373">
        <v>105</v>
      </c>
      <c r="M373">
        <v>58</v>
      </c>
      <c r="N373">
        <v>735</v>
      </c>
      <c r="O373">
        <v>406</v>
      </c>
      <c r="P373">
        <v>329</v>
      </c>
      <c r="Q373" s="18">
        <v>0.44761904761904803</v>
      </c>
    </row>
    <row r="374" spans="1:17" x14ac:dyDescent="0.25">
      <c r="A374" s="17">
        <v>46170</v>
      </c>
      <c r="B374" t="s">
        <v>63</v>
      </c>
      <c r="C374" t="s">
        <v>76</v>
      </c>
      <c r="D374" t="s">
        <v>39</v>
      </c>
      <c r="E374" t="s">
        <v>39</v>
      </c>
      <c r="F374" t="s">
        <v>14</v>
      </c>
      <c r="G374" t="s">
        <v>60</v>
      </c>
      <c r="H374" t="s">
        <v>10</v>
      </c>
      <c r="I374" t="s">
        <v>41</v>
      </c>
      <c r="J374">
        <v>4</v>
      </c>
      <c r="K374" t="s">
        <v>81</v>
      </c>
      <c r="L374">
        <v>89</v>
      </c>
      <c r="M374">
        <v>47</v>
      </c>
      <c r="N374">
        <v>356</v>
      </c>
      <c r="O374">
        <v>188</v>
      </c>
      <c r="P374">
        <v>168</v>
      </c>
      <c r="Q374" s="18">
        <v>0.47191011235955099</v>
      </c>
    </row>
    <row r="375" spans="1:17" x14ac:dyDescent="0.25">
      <c r="A375" s="17">
        <v>46062</v>
      </c>
      <c r="B375" t="s">
        <v>47</v>
      </c>
      <c r="C375" t="s">
        <v>17</v>
      </c>
      <c r="D375" t="s">
        <v>68</v>
      </c>
      <c r="E375" t="s">
        <v>48</v>
      </c>
      <c r="F375" t="s">
        <v>14</v>
      </c>
      <c r="G375" t="s">
        <v>45</v>
      </c>
      <c r="H375" t="s">
        <v>45</v>
      </c>
      <c r="I375" t="s">
        <v>46</v>
      </c>
      <c r="J375">
        <v>7</v>
      </c>
      <c r="K375" t="s">
        <v>80</v>
      </c>
      <c r="L375">
        <v>119</v>
      </c>
      <c r="M375">
        <v>67</v>
      </c>
      <c r="N375">
        <v>833</v>
      </c>
      <c r="O375">
        <v>469</v>
      </c>
      <c r="P375">
        <v>364</v>
      </c>
      <c r="Q375" s="18">
        <v>0.436974789915966</v>
      </c>
    </row>
    <row r="376" spans="1:17" x14ac:dyDescent="0.25">
      <c r="A376" s="17">
        <v>46086</v>
      </c>
      <c r="B376" t="s">
        <v>27</v>
      </c>
      <c r="C376" t="s">
        <v>71</v>
      </c>
      <c r="D376" t="s">
        <v>13</v>
      </c>
      <c r="E376" t="s">
        <v>13</v>
      </c>
      <c r="F376" t="s">
        <v>29</v>
      </c>
      <c r="G376" t="s">
        <v>30</v>
      </c>
      <c r="H376" t="s">
        <v>57</v>
      </c>
      <c r="I376" t="s">
        <v>35</v>
      </c>
      <c r="J376">
        <v>10</v>
      </c>
      <c r="K376" t="s">
        <v>82</v>
      </c>
      <c r="L376">
        <v>76</v>
      </c>
      <c r="M376">
        <v>39</v>
      </c>
      <c r="N376">
        <v>760</v>
      </c>
      <c r="O376">
        <v>390</v>
      </c>
      <c r="P376">
        <v>370</v>
      </c>
      <c r="Q376" s="18">
        <v>0.48684210526315802</v>
      </c>
    </row>
    <row r="377" spans="1:17" x14ac:dyDescent="0.25">
      <c r="A377" s="17">
        <v>46078</v>
      </c>
      <c r="B377" t="s">
        <v>22</v>
      </c>
      <c r="C377" t="s">
        <v>51</v>
      </c>
      <c r="D377" t="s">
        <v>33</v>
      </c>
      <c r="E377" t="s">
        <v>39</v>
      </c>
      <c r="F377" t="s">
        <v>14</v>
      </c>
      <c r="G377" t="s">
        <v>34</v>
      </c>
      <c r="H377" t="s">
        <v>10</v>
      </c>
      <c r="I377" t="s">
        <v>31</v>
      </c>
      <c r="J377">
        <v>2</v>
      </c>
      <c r="K377" t="s">
        <v>82</v>
      </c>
      <c r="L377">
        <v>54</v>
      </c>
      <c r="M377">
        <v>28</v>
      </c>
      <c r="N377">
        <v>108</v>
      </c>
      <c r="O377">
        <v>56</v>
      </c>
      <c r="P377">
        <v>52</v>
      </c>
      <c r="Q377" s="18">
        <v>0.48148148148148101</v>
      </c>
    </row>
    <row r="378" spans="1:17" x14ac:dyDescent="0.25">
      <c r="A378" s="17">
        <v>46183</v>
      </c>
      <c r="B378" t="s">
        <v>36</v>
      </c>
      <c r="C378" t="s">
        <v>62</v>
      </c>
      <c r="D378" t="s">
        <v>23</v>
      </c>
      <c r="E378" t="s">
        <v>13</v>
      </c>
      <c r="F378" t="s">
        <v>24</v>
      </c>
      <c r="G378" t="s">
        <v>34</v>
      </c>
      <c r="H378" t="s">
        <v>10</v>
      </c>
      <c r="I378" t="s">
        <v>26</v>
      </c>
      <c r="J378">
        <v>14</v>
      </c>
      <c r="K378" t="s">
        <v>80</v>
      </c>
      <c r="L378">
        <v>112</v>
      </c>
      <c r="M378">
        <v>64</v>
      </c>
      <c r="N378">
        <v>1568</v>
      </c>
      <c r="O378">
        <v>896</v>
      </c>
      <c r="P378">
        <v>672</v>
      </c>
      <c r="Q378" s="18">
        <v>0.42857142857142899</v>
      </c>
    </row>
    <row r="379" spans="1:17" x14ac:dyDescent="0.25">
      <c r="A379" s="17">
        <v>46032</v>
      </c>
      <c r="B379" t="s">
        <v>44</v>
      </c>
      <c r="C379" t="s">
        <v>65</v>
      </c>
      <c r="D379" t="s">
        <v>13</v>
      </c>
      <c r="E379" t="s">
        <v>13</v>
      </c>
      <c r="F379" t="s">
        <v>24</v>
      </c>
      <c r="G379" t="s">
        <v>60</v>
      </c>
      <c r="H379" t="s">
        <v>10</v>
      </c>
      <c r="I379" t="s">
        <v>16</v>
      </c>
      <c r="J379">
        <v>6</v>
      </c>
      <c r="K379" t="s">
        <v>82</v>
      </c>
      <c r="L379">
        <v>128</v>
      </c>
      <c r="M379">
        <v>72</v>
      </c>
      <c r="N379">
        <v>768</v>
      </c>
      <c r="O379">
        <v>432</v>
      </c>
      <c r="P379">
        <v>336</v>
      </c>
      <c r="Q379" s="18">
        <v>0.4375</v>
      </c>
    </row>
    <row r="380" spans="1:17" x14ac:dyDescent="0.25">
      <c r="A380" s="17">
        <v>46220</v>
      </c>
      <c r="B380" t="s">
        <v>59</v>
      </c>
      <c r="C380" t="s">
        <v>32</v>
      </c>
      <c r="D380" t="s">
        <v>13</v>
      </c>
      <c r="E380" t="s">
        <v>13</v>
      </c>
      <c r="F380" t="s">
        <v>24</v>
      </c>
      <c r="G380" t="s">
        <v>73</v>
      </c>
      <c r="H380" t="s">
        <v>57</v>
      </c>
      <c r="I380" t="s">
        <v>16</v>
      </c>
      <c r="J380">
        <v>5</v>
      </c>
      <c r="K380" t="s">
        <v>81</v>
      </c>
      <c r="L380">
        <v>105</v>
      </c>
      <c r="M380">
        <v>58</v>
      </c>
      <c r="N380">
        <v>525</v>
      </c>
      <c r="O380">
        <v>290</v>
      </c>
      <c r="P380">
        <v>235</v>
      </c>
      <c r="Q380" s="18">
        <v>0.44761904761904803</v>
      </c>
    </row>
    <row r="381" spans="1:17" x14ac:dyDescent="0.25">
      <c r="A381" s="17">
        <v>46073</v>
      </c>
      <c r="B381" t="s">
        <v>62</v>
      </c>
      <c r="C381" t="s">
        <v>62</v>
      </c>
      <c r="D381" t="s">
        <v>52</v>
      </c>
      <c r="E381" t="s">
        <v>13</v>
      </c>
      <c r="F381" t="s">
        <v>29</v>
      </c>
      <c r="G381" t="s">
        <v>73</v>
      </c>
      <c r="H381" t="s">
        <v>57</v>
      </c>
      <c r="I381" t="s">
        <v>16</v>
      </c>
      <c r="J381">
        <v>4</v>
      </c>
      <c r="K381" t="s">
        <v>79</v>
      </c>
      <c r="L381">
        <v>112</v>
      </c>
      <c r="M381">
        <v>64</v>
      </c>
      <c r="N381">
        <v>448</v>
      </c>
      <c r="O381">
        <v>256</v>
      </c>
      <c r="P381">
        <v>192</v>
      </c>
      <c r="Q381" s="18">
        <v>0.42857142857142899</v>
      </c>
    </row>
    <row r="382" spans="1:17" x14ac:dyDescent="0.25">
      <c r="A382" s="17">
        <v>46199</v>
      </c>
      <c r="B382" t="s">
        <v>55</v>
      </c>
      <c r="C382" t="s">
        <v>71</v>
      </c>
      <c r="D382" t="s">
        <v>13</v>
      </c>
      <c r="E382" t="s">
        <v>13</v>
      </c>
      <c r="F382" t="s">
        <v>24</v>
      </c>
      <c r="G382" t="s">
        <v>57</v>
      </c>
      <c r="H382" t="s">
        <v>57</v>
      </c>
      <c r="I382" t="s">
        <v>11</v>
      </c>
      <c r="J382">
        <v>4</v>
      </c>
      <c r="K382" t="s">
        <v>79</v>
      </c>
      <c r="L382">
        <v>76</v>
      </c>
      <c r="M382">
        <v>39</v>
      </c>
      <c r="N382">
        <v>304</v>
      </c>
      <c r="O382">
        <v>156</v>
      </c>
      <c r="P382">
        <v>148</v>
      </c>
      <c r="Q382" s="18">
        <v>0.48684210526315802</v>
      </c>
    </row>
    <row r="383" spans="1:17" x14ac:dyDescent="0.25">
      <c r="A383" s="17">
        <v>46189</v>
      </c>
      <c r="B383" t="s">
        <v>74</v>
      </c>
      <c r="C383" t="s">
        <v>32</v>
      </c>
      <c r="D383" t="s">
        <v>8</v>
      </c>
      <c r="E383" t="s">
        <v>39</v>
      </c>
      <c r="F383" t="s">
        <v>24</v>
      </c>
      <c r="G383" t="s">
        <v>69</v>
      </c>
      <c r="H383" t="s">
        <v>69</v>
      </c>
      <c r="I383" t="s">
        <v>26</v>
      </c>
      <c r="J383">
        <v>10</v>
      </c>
      <c r="K383" t="s">
        <v>81</v>
      </c>
      <c r="L383">
        <v>105</v>
      </c>
      <c r="M383">
        <v>58</v>
      </c>
      <c r="N383">
        <v>1050</v>
      </c>
      <c r="O383">
        <v>580</v>
      </c>
      <c r="P383">
        <v>470</v>
      </c>
      <c r="Q383" s="18">
        <v>0.44761904761904803</v>
      </c>
    </row>
    <row r="384" spans="1:17" x14ac:dyDescent="0.25">
      <c r="A384" s="17">
        <v>46185</v>
      </c>
      <c r="B384" t="s">
        <v>76</v>
      </c>
      <c r="C384" t="s">
        <v>76</v>
      </c>
      <c r="D384" t="s">
        <v>18</v>
      </c>
      <c r="E384" t="s">
        <v>48</v>
      </c>
      <c r="F384" t="s">
        <v>9</v>
      </c>
      <c r="G384" t="s">
        <v>69</v>
      </c>
      <c r="H384" t="s">
        <v>69</v>
      </c>
      <c r="I384" t="s">
        <v>46</v>
      </c>
      <c r="J384">
        <v>14</v>
      </c>
      <c r="K384" t="s">
        <v>81</v>
      </c>
      <c r="L384">
        <v>89</v>
      </c>
      <c r="M384">
        <v>47</v>
      </c>
      <c r="N384">
        <v>1246</v>
      </c>
      <c r="O384">
        <v>658</v>
      </c>
      <c r="P384">
        <v>588</v>
      </c>
      <c r="Q384" s="18">
        <v>0.47191011235955099</v>
      </c>
    </row>
    <row r="385" spans="1:17" x14ac:dyDescent="0.25">
      <c r="A385" s="17">
        <v>46201</v>
      </c>
      <c r="B385" t="s">
        <v>17</v>
      </c>
      <c r="C385" t="s">
        <v>17</v>
      </c>
      <c r="D385" t="s">
        <v>23</v>
      </c>
      <c r="E385" t="s">
        <v>13</v>
      </c>
      <c r="F385" t="s">
        <v>29</v>
      </c>
      <c r="G385" t="s">
        <v>30</v>
      </c>
      <c r="H385" t="s">
        <v>57</v>
      </c>
      <c r="I385" t="s">
        <v>31</v>
      </c>
      <c r="J385">
        <v>8</v>
      </c>
      <c r="K385" t="s">
        <v>82</v>
      </c>
      <c r="L385">
        <v>119</v>
      </c>
      <c r="M385">
        <v>67</v>
      </c>
      <c r="N385">
        <v>952</v>
      </c>
      <c r="O385">
        <v>536</v>
      </c>
      <c r="P385">
        <v>416</v>
      </c>
      <c r="Q385" s="18">
        <v>0.436974789915966</v>
      </c>
    </row>
    <row r="386" spans="1:17" x14ac:dyDescent="0.25">
      <c r="A386" s="17">
        <v>46031</v>
      </c>
      <c r="B386" t="s">
        <v>12</v>
      </c>
      <c r="C386" t="s">
        <v>65</v>
      </c>
      <c r="D386" t="s">
        <v>39</v>
      </c>
      <c r="E386" t="s">
        <v>39</v>
      </c>
      <c r="F386" t="s">
        <v>9</v>
      </c>
      <c r="G386" t="s">
        <v>53</v>
      </c>
      <c r="H386" t="s">
        <v>25</v>
      </c>
      <c r="I386" t="s">
        <v>41</v>
      </c>
      <c r="J386">
        <v>3</v>
      </c>
      <c r="K386" t="s">
        <v>81</v>
      </c>
      <c r="L386">
        <v>128</v>
      </c>
      <c r="M386">
        <v>72</v>
      </c>
      <c r="N386">
        <v>384</v>
      </c>
      <c r="O386">
        <v>216</v>
      </c>
      <c r="P386">
        <v>168</v>
      </c>
      <c r="Q386" s="18">
        <v>0.4375</v>
      </c>
    </row>
    <row r="387" spans="1:17" x14ac:dyDescent="0.25">
      <c r="A387" s="17">
        <v>46208</v>
      </c>
      <c r="B387" t="s">
        <v>65</v>
      </c>
      <c r="C387" t="s">
        <v>65</v>
      </c>
      <c r="D387" t="s">
        <v>8</v>
      </c>
      <c r="E387" t="s">
        <v>39</v>
      </c>
      <c r="F387" t="s">
        <v>9</v>
      </c>
      <c r="G387" t="s">
        <v>10</v>
      </c>
      <c r="H387" t="s">
        <v>10</v>
      </c>
      <c r="I387" t="s">
        <v>61</v>
      </c>
      <c r="J387">
        <v>13</v>
      </c>
      <c r="K387" t="s">
        <v>79</v>
      </c>
      <c r="L387">
        <v>128</v>
      </c>
      <c r="M387">
        <v>72</v>
      </c>
      <c r="N387">
        <v>1664</v>
      </c>
      <c r="O387">
        <v>936</v>
      </c>
      <c r="P387">
        <v>728</v>
      </c>
      <c r="Q387" s="18">
        <v>0.4375</v>
      </c>
    </row>
    <row r="388" spans="1:17" x14ac:dyDescent="0.25">
      <c r="A388" s="17">
        <v>46196</v>
      </c>
      <c r="B388" t="s">
        <v>7</v>
      </c>
      <c r="C388" t="s">
        <v>42</v>
      </c>
      <c r="D388" t="s">
        <v>8</v>
      </c>
      <c r="E388" t="s">
        <v>39</v>
      </c>
      <c r="F388" t="s">
        <v>29</v>
      </c>
      <c r="G388" t="s">
        <v>49</v>
      </c>
      <c r="H388" t="s">
        <v>69</v>
      </c>
      <c r="I388" t="s">
        <v>11</v>
      </c>
      <c r="J388">
        <v>8</v>
      </c>
      <c r="K388" t="s">
        <v>79</v>
      </c>
      <c r="L388">
        <v>32</v>
      </c>
      <c r="M388">
        <v>14</v>
      </c>
      <c r="N388">
        <v>256</v>
      </c>
      <c r="O388">
        <v>112</v>
      </c>
      <c r="P388">
        <v>144</v>
      </c>
      <c r="Q388" s="18">
        <v>0.5625</v>
      </c>
    </row>
    <row r="389" spans="1:17" x14ac:dyDescent="0.25">
      <c r="A389" s="17">
        <v>46090</v>
      </c>
      <c r="B389" t="s">
        <v>51</v>
      </c>
      <c r="C389" t="s">
        <v>51</v>
      </c>
      <c r="D389" t="s">
        <v>13</v>
      </c>
      <c r="E389" t="s">
        <v>13</v>
      </c>
      <c r="F389" t="s">
        <v>29</v>
      </c>
      <c r="G389" t="s">
        <v>30</v>
      </c>
      <c r="H389" t="s">
        <v>57</v>
      </c>
      <c r="I389" t="s">
        <v>61</v>
      </c>
      <c r="J389">
        <v>6</v>
      </c>
      <c r="K389" t="s">
        <v>79</v>
      </c>
      <c r="L389">
        <v>54</v>
      </c>
      <c r="M389">
        <v>28</v>
      </c>
      <c r="N389">
        <v>324</v>
      </c>
      <c r="O389">
        <v>168</v>
      </c>
      <c r="P389">
        <v>156</v>
      </c>
      <c r="Q389" s="18">
        <v>0.48148148148148101</v>
      </c>
    </row>
    <row r="390" spans="1:17" x14ac:dyDescent="0.25">
      <c r="A390" s="17">
        <v>46043</v>
      </c>
      <c r="B390" t="s">
        <v>32</v>
      </c>
      <c r="C390" t="s">
        <v>32</v>
      </c>
      <c r="D390" t="s">
        <v>39</v>
      </c>
      <c r="E390" t="s">
        <v>39</v>
      </c>
      <c r="F390" t="s">
        <v>19</v>
      </c>
      <c r="G390" t="s">
        <v>40</v>
      </c>
      <c r="H390" t="s">
        <v>25</v>
      </c>
      <c r="I390" t="s">
        <v>50</v>
      </c>
      <c r="J390">
        <v>14</v>
      </c>
      <c r="K390" t="s">
        <v>81</v>
      </c>
      <c r="L390">
        <v>105</v>
      </c>
      <c r="M390">
        <v>58</v>
      </c>
      <c r="N390">
        <v>1470</v>
      </c>
      <c r="O390">
        <v>812</v>
      </c>
      <c r="P390">
        <v>658</v>
      </c>
      <c r="Q390" s="18">
        <v>0.44761904761904803</v>
      </c>
    </row>
    <row r="391" spans="1:17" x14ac:dyDescent="0.25">
      <c r="A391" s="17">
        <v>46162</v>
      </c>
      <c r="B391" t="s">
        <v>67</v>
      </c>
      <c r="C391" t="s">
        <v>17</v>
      </c>
      <c r="D391" t="s">
        <v>23</v>
      </c>
      <c r="E391" t="s">
        <v>13</v>
      </c>
      <c r="F391" t="s">
        <v>24</v>
      </c>
      <c r="G391" t="s">
        <v>60</v>
      </c>
      <c r="H391" t="s">
        <v>10</v>
      </c>
      <c r="I391" t="s">
        <v>21</v>
      </c>
      <c r="J391">
        <v>1</v>
      </c>
      <c r="K391" t="s">
        <v>80</v>
      </c>
      <c r="L391">
        <v>119</v>
      </c>
      <c r="M391">
        <v>67</v>
      </c>
      <c r="N391">
        <v>119</v>
      </c>
      <c r="O391">
        <v>67</v>
      </c>
      <c r="P391">
        <v>52</v>
      </c>
      <c r="Q391" s="18">
        <v>0.436974789915966</v>
      </c>
    </row>
    <row r="392" spans="1:17" x14ac:dyDescent="0.25">
      <c r="A392" s="17">
        <v>46169</v>
      </c>
      <c r="B392" t="s">
        <v>65</v>
      </c>
      <c r="C392" t="s">
        <v>65</v>
      </c>
      <c r="D392" t="s">
        <v>8</v>
      </c>
      <c r="E392" t="s">
        <v>39</v>
      </c>
      <c r="F392" t="s">
        <v>29</v>
      </c>
      <c r="G392" t="s">
        <v>49</v>
      </c>
      <c r="H392" t="s">
        <v>69</v>
      </c>
      <c r="I392" t="s">
        <v>35</v>
      </c>
      <c r="J392">
        <v>11</v>
      </c>
      <c r="K392" t="s">
        <v>82</v>
      </c>
      <c r="L392">
        <v>128</v>
      </c>
      <c r="M392">
        <v>72</v>
      </c>
      <c r="N392">
        <v>1408</v>
      </c>
      <c r="O392">
        <v>792</v>
      </c>
      <c r="P392">
        <v>616</v>
      </c>
      <c r="Q392" s="18">
        <v>0.4375</v>
      </c>
    </row>
    <row r="393" spans="1:17" x14ac:dyDescent="0.25">
      <c r="A393" s="17">
        <v>46168</v>
      </c>
      <c r="B393" t="s">
        <v>64</v>
      </c>
      <c r="C393" t="s">
        <v>42</v>
      </c>
      <c r="D393" t="s">
        <v>23</v>
      </c>
      <c r="E393" t="s">
        <v>13</v>
      </c>
      <c r="F393" t="s">
        <v>9</v>
      </c>
      <c r="G393" t="s">
        <v>60</v>
      </c>
      <c r="H393" t="s">
        <v>10</v>
      </c>
      <c r="I393" t="s">
        <v>21</v>
      </c>
      <c r="J393">
        <v>9</v>
      </c>
      <c r="K393" t="s">
        <v>79</v>
      </c>
      <c r="L393">
        <v>32</v>
      </c>
      <c r="M393">
        <v>14</v>
      </c>
      <c r="N393">
        <v>288</v>
      </c>
      <c r="O393">
        <v>126</v>
      </c>
      <c r="P393">
        <v>162</v>
      </c>
      <c r="Q393" s="18">
        <v>0.5625</v>
      </c>
    </row>
    <row r="394" spans="1:17" x14ac:dyDescent="0.25">
      <c r="A394" s="17">
        <v>46156</v>
      </c>
      <c r="B394" t="s">
        <v>62</v>
      </c>
      <c r="C394" t="s">
        <v>62</v>
      </c>
      <c r="D394" t="s">
        <v>33</v>
      </c>
      <c r="E394" t="s">
        <v>39</v>
      </c>
      <c r="F394" t="s">
        <v>29</v>
      </c>
      <c r="G394" t="s">
        <v>53</v>
      </c>
      <c r="H394" t="s">
        <v>25</v>
      </c>
      <c r="I394" t="s">
        <v>35</v>
      </c>
      <c r="J394">
        <v>2</v>
      </c>
      <c r="K394" t="s">
        <v>79</v>
      </c>
      <c r="L394">
        <v>112</v>
      </c>
      <c r="M394">
        <v>64</v>
      </c>
      <c r="N394">
        <v>224</v>
      </c>
      <c r="O394">
        <v>128</v>
      </c>
      <c r="P394">
        <v>96</v>
      </c>
      <c r="Q394" s="18">
        <v>0.42857142857142899</v>
      </c>
    </row>
    <row r="395" spans="1:17" x14ac:dyDescent="0.25">
      <c r="A395" s="17">
        <v>46037</v>
      </c>
      <c r="B395" t="s">
        <v>63</v>
      </c>
      <c r="C395" t="s">
        <v>76</v>
      </c>
      <c r="D395" t="s">
        <v>39</v>
      </c>
      <c r="E395" t="s">
        <v>39</v>
      </c>
      <c r="F395" t="s">
        <v>14</v>
      </c>
      <c r="G395" t="s">
        <v>40</v>
      </c>
      <c r="H395" t="s">
        <v>25</v>
      </c>
      <c r="I395" t="s">
        <v>61</v>
      </c>
      <c r="J395">
        <v>9</v>
      </c>
      <c r="K395" t="s">
        <v>80</v>
      </c>
      <c r="L395">
        <v>89</v>
      </c>
      <c r="M395">
        <v>47</v>
      </c>
      <c r="N395">
        <v>801</v>
      </c>
      <c r="O395">
        <v>423</v>
      </c>
      <c r="P395">
        <v>378</v>
      </c>
      <c r="Q395" s="18">
        <v>0.47191011235955099</v>
      </c>
    </row>
    <row r="396" spans="1:17" x14ac:dyDescent="0.25">
      <c r="A396" s="17">
        <v>46175</v>
      </c>
      <c r="B396" t="s">
        <v>67</v>
      </c>
      <c r="C396" t="s">
        <v>17</v>
      </c>
      <c r="D396" t="s">
        <v>39</v>
      </c>
      <c r="E396" t="s">
        <v>39</v>
      </c>
      <c r="F396" t="s">
        <v>14</v>
      </c>
      <c r="G396" t="s">
        <v>53</v>
      </c>
      <c r="H396" t="s">
        <v>25</v>
      </c>
      <c r="I396" t="s">
        <v>35</v>
      </c>
      <c r="J396">
        <v>8</v>
      </c>
      <c r="K396" t="s">
        <v>80</v>
      </c>
      <c r="L396">
        <v>119</v>
      </c>
      <c r="M396">
        <v>67</v>
      </c>
      <c r="N396">
        <v>952</v>
      </c>
      <c r="O396">
        <v>536</v>
      </c>
      <c r="P396">
        <v>416</v>
      </c>
      <c r="Q396" s="18">
        <v>0.436974789915966</v>
      </c>
    </row>
    <row r="397" spans="1:17" x14ac:dyDescent="0.25">
      <c r="A397" s="17">
        <v>46173</v>
      </c>
      <c r="B397" t="s">
        <v>71</v>
      </c>
      <c r="C397" t="s">
        <v>71</v>
      </c>
      <c r="D397" t="s">
        <v>8</v>
      </c>
      <c r="E397" t="s">
        <v>39</v>
      </c>
      <c r="F397" t="s">
        <v>29</v>
      </c>
      <c r="G397" t="s">
        <v>20</v>
      </c>
      <c r="H397" t="s">
        <v>69</v>
      </c>
      <c r="I397" t="s">
        <v>26</v>
      </c>
      <c r="J397">
        <v>9</v>
      </c>
      <c r="K397" t="s">
        <v>79</v>
      </c>
      <c r="L397">
        <v>76</v>
      </c>
      <c r="M397">
        <v>39</v>
      </c>
      <c r="N397">
        <v>684</v>
      </c>
      <c r="O397">
        <v>351</v>
      </c>
      <c r="P397">
        <v>333</v>
      </c>
      <c r="Q397" s="18">
        <v>0.48684210526315802</v>
      </c>
    </row>
    <row r="398" spans="1:17" x14ac:dyDescent="0.25">
      <c r="A398" s="17">
        <v>46024</v>
      </c>
      <c r="B398" t="s">
        <v>27</v>
      </c>
      <c r="C398" t="s">
        <v>71</v>
      </c>
      <c r="D398" t="s">
        <v>33</v>
      </c>
      <c r="E398" t="s">
        <v>39</v>
      </c>
      <c r="F398" t="s">
        <v>9</v>
      </c>
      <c r="G398" t="s">
        <v>60</v>
      </c>
      <c r="H398" t="s">
        <v>10</v>
      </c>
      <c r="I398" t="s">
        <v>54</v>
      </c>
      <c r="J398">
        <v>11</v>
      </c>
      <c r="K398" t="s">
        <v>80</v>
      </c>
      <c r="L398">
        <v>76</v>
      </c>
      <c r="M398">
        <v>39</v>
      </c>
      <c r="N398">
        <v>836</v>
      </c>
      <c r="O398">
        <v>429</v>
      </c>
      <c r="P398">
        <v>407</v>
      </c>
      <c r="Q398" s="18">
        <v>0.48684210526315802</v>
      </c>
    </row>
    <row r="399" spans="1:17" x14ac:dyDescent="0.25">
      <c r="A399" s="17">
        <v>46047</v>
      </c>
      <c r="B399" t="s">
        <v>59</v>
      </c>
      <c r="C399" t="s">
        <v>32</v>
      </c>
      <c r="D399" t="s">
        <v>28</v>
      </c>
      <c r="E399" t="s">
        <v>28</v>
      </c>
      <c r="F399" t="s">
        <v>9</v>
      </c>
      <c r="G399" t="s">
        <v>60</v>
      </c>
      <c r="H399" t="s">
        <v>10</v>
      </c>
      <c r="I399" t="s">
        <v>35</v>
      </c>
      <c r="J399">
        <v>8</v>
      </c>
      <c r="K399" t="s">
        <v>79</v>
      </c>
      <c r="L399">
        <v>105</v>
      </c>
      <c r="M399">
        <v>58</v>
      </c>
      <c r="N399">
        <v>840</v>
      </c>
      <c r="O399">
        <v>464</v>
      </c>
      <c r="P399">
        <v>376</v>
      </c>
      <c r="Q399" s="18">
        <v>0.44761904761904803</v>
      </c>
    </row>
    <row r="400" spans="1:17" x14ac:dyDescent="0.25">
      <c r="A400" s="17">
        <v>46112</v>
      </c>
      <c r="B400" t="s">
        <v>42</v>
      </c>
      <c r="C400" t="s">
        <v>42</v>
      </c>
      <c r="D400" t="s">
        <v>18</v>
      </c>
      <c r="E400" t="s">
        <v>48</v>
      </c>
      <c r="F400" t="s">
        <v>29</v>
      </c>
      <c r="G400" t="s">
        <v>25</v>
      </c>
      <c r="H400" t="s">
        <v>25</v>
      </c>
      <c r="I400" t="s">
        <v>37</v>
      </c>
      <c r="J400">
        <v>7</v>
      </c>
      <c r="K400" t="s">
        <v>81</v>
      </c>
      <c r="L400">
        <v>32</v>
      </c>
      <c r="M400">
        <v>14</v>
      </c>
      <c r="N400">
        <v>224</v>
      </c>
      <c r="O400">
        <v>98</v>
      </c>
      <c r="P400">
        <v>126</v>
      </c>
      <c r="Q400" s="18">
        <v>0.5625</v>
      </c>
    </row>
    <row r="401" spans="1:17" x14ac:dyDescent="0.25">
      <c r="A401" s="17">
        <v>46085</v>
      </c>
      <c r="B401" t="s">
        <v>70</v>
      </c>
      <c r="C401" t="s">
        <v>51</v>
      </c>
      <c r="D401" t="s">
        <v>39</v>
      </c>
      <c r="E401" t="s">
        <v>39</v>
      </c>
      <c r="F401" t="s">
        <v>19</v>
      </c>
      <c r="G401" t="s">
        <v>15</v>
      </c>
      <c r="H401" t="s">
        <v>45</v>
      </c>
      <c r="I401" t="s">
        <v>46</v>
      </c>
      <c r="J401">
        <v>8</v>
      </c>
      <c r="K401" t="s">
        <v>81</v>
      </c>
      <c r="L401">
        <v>54</v>
      </c>
      <c r="M401">
        <v>28</v>
      </c>
      <c r="N401">
        <v>432</v>
      </c>
      <c r="O401">
        <v>224</v>
      </c>
      <c r="P401">
        <v>208</v>
      </c>
      <c r="Q401" s="18">
        <v>0.48148148148148101</v>
      </c>
    </row>
    <row r="402" spans="1:17" x14ac:dyDescent="0.25">
      <c r="A402" s="17">
        <v>46117</v>
      </c>
      <c r="B402" t="s">
        <v>76</v>
      </c>
      <c r="C402" t="s">
        <v>76</v>
      </c>
      <c r="D402" t="s">
        <v>28</v>
      </c>
      <c r="E402" t="s">
        <v>28</v>
      </c>
      <c r="F402" t="s">
        <v>19</v>
      </c>
      <c r="G402" t="s">
        <v>40</v>
      </c>
      <c r="H402" t="s">
        <v>25</v>
      </c>
      <c r="I402" t="s">
        <v>35</v>
      </c>
      <c r="J402">
        <v>13</v>
      </c>
      <c r="K402" t="s">
        <v>82</v>
      </c>
      <c r="L402">
        <v>89</v>
      </c>
      <c r="M402">
        <v>47</v>
      </c>
      <c r="N402">
        <v>1157</v>
      </c>
      <c r="O402">
        <v>611</v>
      </c>
      <c r="P402">
        <v>546</v>
      </c>
      <c r="Q402" s="18">
        <v>0.47191011235955099</v>
      </c>
    </row>
    <row r="403" spans="1:17" x14ac:dyDescent="0.25">
      <c r="A403" s="17">
        <v>46107</v>
      </c>
      <c r="B403" t="s">
        <v>75</v>
      </c>
      <c r="C403" t="s">
        <v>62</v>
      </c>
      <c r="D403" t="s">
        <v>56</v>
      </c>
      <c r="E403" t="s">
        <v>28</v>
      </c>
      <c r="F403" t="s">
        <v>14</v>
      </c>
      <c r="G403" t="s">
        <v>40</v>
      </c>
      <c r="H403" t="s">
        <v>25</v>
      </c>
      <c r="I403" t="s">
        <v>16</v>
      </c>
      <c r="J403">
        <v>14</v>
      </c>
      <c r="K403" t="s">
        <v>80</v>
      </c>
      <c r="L403">
        <v>112</v>
      </c>
      <c r="M403">
        <v>64</v>
      </c>
      <c r="N403">
        <v>1568</v>
      </c>
      <c r="O403">
        <v>896</v>
      </c>
      <c r="P403">
        <v>672</v>
      </c>
      <c r="Q403" s="18">
        <v>0.42857142857142899</v>
      </c>
    </row>
    <row r="404" spans="1:17" x14ac:dyDescent="0.25">
      <c r="A404" s="17">
        <v>46142</v>
      </c>
      <c r="B404" t="s">
        <v>38</v>
      </c>
      <c r="C404" t="s">
        <v>76</v>
      </c>
      <c r="D404" t="s">
        <v>18</v>
      </c>
      <c r="E404" t="s">
        <v>48</v>
      </c>
      <c r="F404" t="s">
        <v>14</v>
      </c>
      <c r="G404" t="s">
        <v>34</v>
      </c>
      <c r="H404" t="s">
        <v>10</v>
      </c>
      <c r="I404" t="s">
        <v>46</v>
      </c>
      <c r="J404">
        <v>11</v>
      </c>
      <c r="K404" t="s">
        <v>82</v>
      </c>
      <c r="L404">
        <v>89</v>
      </c>
      <c r="M404">
        <v>47</v>
      </c>
      <c r="N404">
        <v>979</v>
      </c>
      <c r="O404">
        <v>517</v>
      </c>
      <c r="P404">
        <v>462</v>
      </c>
      <c r="Q404" s="18">
        <v>0.47191011235955099</v>
      </c>
    </row>
    <row r="405" spans="1:17" x14ac:dyDescent="0.25">
      <c r="A405" s="17">
        <v>46029</v>
      </c>
      <c r="B405" t="s">
        <v>27</v>
      </c>
      <c r="C405" t="s">
        <v>71</v>
      </c>
      <c r="D405" t="s">
        <v>48</v>
      </c>
      <c r="E405" t="s">
        <v>48</v>
      </c>
      <c r="F405" t="s">
        <v>29</v>
      </c>
      <c r="G405" t="s">
        <v>25</v>
      </c>
      <c r="H405" t="s">
        <v>25</v>
      </c>
      <c r="I405" t="s">
        <v>61</v>
      </c>
      <c r="J405">
        <v>14</v>
      </c>
      <c r="K405" t="s">
        <v>80</v>
      </c>
      <c r="L405">
        <v>76</v>
      </c>
      <c r="M405">
        <v>39</v>
      </c>
      <c r="N405">
        <v>1064</v>
      </c>
      <c r="O405">
        <v>546</v>
      </c>
      <c r="P405">
        <v>518</v>
      </c>
      <c r="Q405" s="18">
        <v>0.48684210526315802</v>
      </c>
    </row>
    <row r="406" spans="1:17" x14ac:dyDescent="0.25">
      <c r="A406" s="17">
        <v>46112</v>
      </c>
      <c r="B406" t="s">
        <v>44</v>
      </c>
      <c r="C406" t="s">
        <v>65</v>
      </c>
      <c r="D406" t="s">
        <v>8</v>
      </c>
      <c r="E406" t="s">
        <v>39</v>
      </c>
      <c r="F406" t="s">
        <v>19</v>
      </c>
      <c r="G406" t="s">
        <v>49</v>
      </c>
      <c r="H406" t="s">
        <v>69</v>
      </c>
      <c r="I406" t="s">
        <v>46</v>
      </c>
      <c r="J406">
        <v>13</v>
      </c>
      <c r="K406" t="s">
        <v>79</v>
      </c>
      <c r="L406">
        <v>128</v>
      </c>
      <c r="M406">
        <v>72</v>
      </c>
      <c r="N406">
        <v>1664</v>
      </c>
      <c r="O406">
        <v>936</v>
      </c>
      <c r="P406">
        <v>728</v>
      </c>
      <c r="Q406" s="18">
        <v>0.4375</v>
      </c>
    </row>
    <row r="407" spans="1:17" x14ac:dyDescent="0.25">
      <c r="A407" s="17">
        <v>46220</v>
      </c>
      <c r="B407" t="s">
        <v>74</v>
      </c>
      <c r="C407" t="s">
        <v>32</v>
      </c>
      <c r="D407" t="s">
        <v>52</v>
      </c>
      <c r="E407" t="s">
        <v>13</v>
      </c>
      <c r="F407" t="s">
        <v>9</v>
      </c>
      <c r="G407" t="s">
        <v>49</v>
      </c>
      <c r="H407" t="s">
        <v>69</v>
      </c>
      <c r="I407" t="s">
        <v>21</v>
      </c>
      <c r="J407">
        <v>9</v>
      </c>
      <c r="K407" t="s">
        <v>82</v>
      </c>
      <c r="L407">
        <v>105</v>
      </c>
      <c r="M407">
        <v>58</v>
      </c>
      <c r="N407">
        <v>945</v>
      </c>
      <c r="O407">
        <v>522</v>
      </c>
      <c r="P407">
        <v>423</v>
      </c>
      <c r="Q407" s="18">
        <v>0.44761904761904803</v>
      </c>
    </row>
    <row r="408" spans="1:17" x14ac:dyDescent="0.25">
      <c r="A408" s="17">
        <v>46134</v>
      </c>
      <c r="B408" t="s">
        <v>74</v>
      </c>
      <c r="C408" t="s">
        <v>32</v>
      </c>
      <c r="D408" t="s">
        <v>28</v>
      </c>
      <c r="E408" t="s">
        <v>28</v>
      </c>
      <c r="F408" t="s">
        <v>14</v>
      </c>
      <c r="G408" t="s">
        <v>73</v>
      </c>
      <c r="H408" t="s">
        <v>57</v>
      </c>
      <c r="I408" t="s">
        <v>61</v>
      </c>
      <c r="J408">
        <v>6</v>
      </c>
      <c r="K408" t="s">
        <v>82</v>
      </c>
      <c r="L408">
        <v>105</v>
      </c>
      <c r="M408">
        <v>58</v>
      </c>
      <c r="N408">
        <v>630</v>
      </c>
      <c r="O408">
        <v>348</v>
      </c>
      <c r="P408">
        <v>282</v>
      </c>
      <c r="Q408" s="18">
        <v>0.44761904761904803</v>
      </c>
    </row>
    <row r="409" spans="1:17" x14ac:dyDescent="0.25">
      <c r="A409" s="17">
        <v>46210</v>
      </c>
      <c r="B409" t="s">
        <v>62</v>
      </c>
      <c r="C409" t="s">
        <v>62</v>
      </c>
      <c r="D409" t="s">
        <v>28</v>
      </c>
      <c r="E409" t="s">
        <v>28</v>
      </c>
      <c r="F409" t="s">
        <v>24</v>
      </c>
      <c r="G409" t="s">
        <v>30</v>
      </c>
      <c r="H409" t="s">
        <v>57</v>
      </c>
      <c r="I409" t="s">
        <v>58</v>
      </c>
      <c r="J409">
        <v>12</v>
      </c>
      <c r="K409" t="s">
        <v>81</v>
      </c>
      <c r="L409">
        <v>112</v>
      </c>
      <c r="M409">
        <v>64</v>
      </c>
      <c r="N409">
        <v>1344</v>
      </c>
      <c r="O409">
        <v>768</v>
      </c>
      <c r="P409">
        <v>576</v>
      </c>
      <c r="Q409" s="18">
        <v>0.42857142857142899</v>
      </c>
    </row>
    <row r="410" spans="1:17" x14ac:dyDescent="0.25">
      <c r="A410" s="17">
        <v>46099</v>
      </c>
      <c r="B410" t="s">
        <v>65</v>
      </c>
      <c r="C410" t="s">
        <v>65</v>
      </c>
      <c r="D410" t="s">
        <v>18</v>
      </c>
      <c r="E410" t="s">
        <v>48</v>
      </c>
      <c r="F410" t="s">
        <v>29</v>
      </c>
      <c r="G410" t="s">
        <v>20</v>
      </c>
      <c r="H410" t="s">
        <v>69</v>
      </c>
      <c r="I410" t="s">
        <v>54</v>
      </c>
      <c r="J410">
        <v>7</v>
      </c>
      <c r="K410" t="s">
        <v>79</v>
      </c>
      <c r="L410">
        <v>128</v>
      </c>
      <c r="M410">
        <v>72</v>
      </c>
      <c r="N410">
        <v>896</v>
      </c>
      <c r="O410">
        <v>504</v>
      </c>
      <c r="P410">
        <v>392</v>
      </c>
      <c r="Q410" s="18">
        <v>0.4375</v>
      </c>
    </row>
    <row r="411" spans="1:17" x14ac:dyDescent="0.25">
      <c r="A411" s="17">
        <v>46134</v>
      </c>
      <c r="B411" t="s">
        <v>70</v>
      </c>
      <c r="C411" t="s">
        <v>51</v>
      </c>
      <c r="D411" t="s">
        <v>72</v>
      </c>
      <c r="E411" t="s">
        <v>28</v>
      </c>
      <c r="F411" t="s">
        <v>24</v>
      </c>
      <c r="G411" t="s">
        <v>73</v>
      </c>
      <c r="H411" t="s">
        <v>57</v>
      </c>
      <c r="I411" t="s">
        <v>16</v>
      </c>
      <c r="J411">
        <v>14</v>
      </c>
      <c r="K411" t="s">
        <v>82</v>
      </c>
      <c r="L411">
        <v>54</v>
      </c>
      <c r="M411">
        <v>28</v>
      </c>
      <c r="N411">
        <v>756</v>
      </c>
      <c r="O411">
        <v>392</v>
      </c>
      <c r="P411">
        <v>364</v>
      </c>
      <c r="Q411" s="18">
        <v>0.48148148148148101</v>
      </c>
    </row>
    <row r="412" spans="1:17" x14ac:dyDescent="0.25">
      <c r="A412" s="17">
        <v>46159</v>
      </c>
      <c r="B412" t="s">
        <v>71</v>
      </c>
      <c r="C412" t="s">
        <v>71</v>
      </c>
      <c r="D412" t="s">
        <v>68</v>
      </c>
      <c r="E412" t="s">
        <v>48</v>
      </c>
      <c r="F412" t="s">
        <v>24</v>
      </c>
      <c r="G412" t="s">
        <v>34</v>
      </c>
      <c r="H412" t="s">
        <v>10</v>
      </c>
      <c r="I412" t="s">
        <v>61</v>
      </c>
      <c r="J412">
        <v>8</v>
      </c>
      <c r="K412" t="s">
        <v>82</v>
      </c>
      <c r="L412">
        <v>76</v>
      </c>
      <c r="M412">
        <v>39</v>
      </c>
      <c r="N412">
        <v>608</v>
      </c>
      <c r="O412">
        <v>312</v>
      </c>
      <c r="P412">
        <v>296</v>
      </c>
      <c r="Q412" s="18">
        <v>0.48684210526315802</v>
      </c>
    </row>
    <row r="413" spans="1:17" x14ac:dyDescent="0.25">
      <c r="A413" s="17">
        <v>46067</v>
      </c>
      <c r="B413" t="s">
        <v>32</v>
      </c>
      <c r="C413" t="s">
        <v>32</v>
      </c>
      <c r="D413" t="s">
        <v>8</v>
      </c>
      <c r="E413" t="s">
        <v>39</v>
      </c>
      <c r="F413" t="s">
        <v>19</v>
      </c>
      <c r="G413" t="s">
        <v>53</v>
      </c>
      <c r="H413" t="s">
        <v>25</v>
      </c>
      <c r="I413" t="s">
        <v>41</v>
      </c>
      <c r="J413">
        <v>3</v>
      </c>
      <c r="K413" t="s">
        <v>79</v>
      </c>
      <c r="L413">
        <v>105</v>
      </c>
      <c r="M413">
        <v>58</v>
      </c>
      <c r="N413">
        <v>315</v>
      </c>
      <c r="O413">
        <v>174</v>
      </c>
      <c r="P413">
        <v>141</v>
      </c>
      <c r="Q413" s="18">
        <v>0.44761904761904803</v>
      </c>
    </row>
    <row r="414" spans="1:17" x14ac:dyDescent="0.25">
      <c r="A414" s="17">
        <v>46213</v>
      </c>
      <c r="B414" t="s">
        <v>27</v>
      </c>
      <c r="C414" t="s">
        <v>71</v>
      </c>
      <c r="D414" t="s">
        <v>39</v>
      </c>
      <c r="E414" t="s">
        <v>39</v>
      </c>
      <c r="F414" t="s">
        <v>19</v>
      </c>
      <c r="G414" t="s">
        <v>25</v>
      </c>
      <c r="H414" t="s">
        <v>25</v>
      </c>
      <c r="I414" t="s">
        <v>50</v>
      </c>
      <c r="J414">
        <v>15</v>
      </c>
      <c r="K414" t="s">
        <v>82</v>
      </c>
      <c r="L414">
        <v>76</v>
      </c>
      <c r="M414">
        <v>39</v>
      </c>
      <c r="N414">
        <v>1140</v>
      </c>
      <c r="O414">
        <v>585</v>
      </c>
      <c r="P414">
        <v>555</v>
      </c>
      <c r="Q414" s="18">
        <v>0.48684210526315802</v>
      </c>
    </row>
    <row r="415" spans="1:17" x14ac:dyDescent="0.25">
      <c r="A415" s="17">
        <v>46110</v>
      </c>
      <c r="B415" t="s">
        <v>59</v>
      </c>
      <c r="C415" t="s">
        <v>32</v>
      </c>
      <c r="D415" t="s">
        <v>72</v>
      </c>
      <c r="E415" t="s">
        <v>28</v>
      </c>
      <c r="F415" t="s">
        <v>14</v>
      </c>
      <c r="G415" t="s">
        <v>45</v>
      </c>
      <c r="H415" t="s">
        <v>45</v>
      </c>
      <c r="I415" t="s">
        <v>21</v>
      </c>
      <c r="J415">
        <v>5</v>
      </c>
      <c r="K415" t="s">
        <v>80</v>
      </c>
      <c r="L415">
        <v>105</v>
      </c>
      <c r="M415">
        <v>58</v>
      </c>
      <c r="N415">
        <v>525</v>
      </c>
      <c r="O415">
        <v>290</v>
      </c>
      <c r="P415">
        <v>235</v>
      </c>
      <c r="Q415" s="18">
        <v>0.44761904761904803</v>
      </c>
    </row>
    <row r="416" spans="1:17" x14ac:dyDescent="0.25">
      <c r="A416" s="17">
        <v>46148</v>
      </c>
      <c r="B416" t="s">
        <v>59</v>
      </c>
      <c r="C416" t="s">
        <v>32</v>
      </c>
      <c r="D416" t="s">
        <v>56</v>
      </c>
      <c r="E416" t="s">
        <v>28</v>
      </c>
      <c r="F416" t="s">
        <v>29</v>
      </c>
      <c r="G416" t="s">
        <v>10</v>
      </c>
      <c r="H416" t="s">
        <v>10</v>
      </c>
      <c r="I416" t="s">
        <v>26</v>
      </c>
      <c r="J416">
        <v>2</v>
      </c>
      <c r="K416" t="s">
        <v>80</v>
      </c>
      <c r="L416">
        <v>105</v>
      </c>
      <c r="M416">
        <v>58</v>
      </c>
      <c r="N416">
        <v>210</v>
      </c>
      <c r="O416">
        <v>116</v>
      </c>
      <c r="P416">
        <v>94</v>
      </c>
      <c r="Q416" s="18">
        <v>0.44761904761904803</v>
      </c>
    </row>
    <row r="417" spans="1:17" x14ac:dyDescent="0.25">
      <c r="A417" s="17">
        <v>46134</v>
      </c>
      <c r="B417" t="s">
        <v>65</v>
      </c>
      <c r="C417" t="s">
        <v>65</v>
      </c>
      <c r="D417" t="s">
        <v>52</v>
      </c>
      <c r="E417" t="s">
        <v>13</v>
      </c>
      <c r="F417" t="s">
        <v>9</v>
      </c>
      <c r="G417" t="s">
        <v>53</v>
      </c>
      <c r="H417" t="s">
        <v>25</v>
      </c>
      <c r="I417" t="s">
        <v>54</v>
      </c>
      <c r="J417">
        <v>14</v>
      </c>
      <c r="K417" t="s">
        <v>81</v>
      </c>
      <c r="L417">
        <v>128</v>
      </c>
      <c r="M417">
        <v>72</v>
      </c>
      <c r="N417">
        <v>1792</v>
      </c>
      <c r="O417">
        <v>1008</v>
      </c>
      <c r="P417">
        <v>784</v>
      </c>
      <c r="Q417" s="18">
        <v>0.4375</v>
      </c>
    </row>
    <row r="418" spans="1:17" x14ac:dyDescent="0.25">
      <c r="A418" s="17">
        <v>46077</v>
      </c>
      <c r="B418" t="s">
        <v>44</v>
      </c>
      <c r="C418" t="s">
        <v>65</v>
      </c>
      <c r="D418" t="s">
        <v>39</v>
      </c>
      <c r="E418" t="s">
        <v>39</v>
      </c>
      <c r="F418" t="s">
        <v>14</v>
      </c>
      <c r="G418" t="s">
        <v>57</v>
      </c>
      <c r="H418" t="s">
        <v>57</v>
      </c>
      <c r="I418" t="s">
        <v>11</v>
      </c>
      <c r="J418">
        <v>5</v>
      </c>
      <c r="K418" t="s">
        <v>79</v>
      </c>
      <c r="L418">
        <v>128</v>
      </c>
      <c r="M418">
        <v>72</v>
      </c>
      <c r="N418">
        <v>640</v>
      </c>
      <c r="O418">
        <v>360</v>
      </c>
      <c r="P418">
        <v>280</v>
      </c>
      <c r="Q418" s="18">
        <v>0.4375</v>
      </c>
    </row>
    <row r="419" spans="1:17" x14ac:dyDescent="0.25">
      <c r="A419" s="17">
        <v>46155</v>
      </c>
      <c r="B419" t="s">
        <v>36</v>
      </c>
      <c r="C419" t="s">
        <v>62</v>
      </c>
      <c r="D419" t="s">
        <v>33</v>
      </c>
      <c r="E419" t="s">
        <v>39</v>
      </c>
      <c r="F419" t="s">
        <v>24</v>
      </c>
      <c r="G419" t="s">
        <v>10</v>
      </c>
      <c r="H419" t="s">
        <v>10</v>
      </c>
      <c r="I419" t="s">
        <v>37</v>
      </c>
      <c r="J419">
        <v>13</v>
      </c>
      <c r="K419" t="s">
        <v>82</v>
      </c>
      <c r="L419">
        <v>112</v>
      </c>
      <c r="M419">
        <v>64</v>
      </c>
      <c r="N419">
        <v>1456</v>
      </c>
      <c r="O419">
        <v>832</v>
      </c>
      <c r="P419">
        <v>624</v>
      </c>
      <c r="Q419" s="18">
        <v>0.42857142857142899</v>
      </c>
    </row>
    <row r="420" spans="1:17" x14ac:dyDescent="0.25">
      <c r="A420" s="17">
        <v>46172</v>
      </c>
      <c r="B420" t="s">
        <v>12</v>
      </c>
      <c r="C420" t="s">
        <v>65</v>
      </c>
      <c r="D420" t="s">
        <v>39</v>
      </c>
      <c r="E420" t="s">
        <v>39</v>
      </c>
      <c r="F420" t="s">
        <v>29</v>
      </c>
      <c r="G420" t="s">
        <v>30</v>
      </c>
      <c r="H420" t="s">
        <v>57</v>
      </c>
      <c r="I420" t="s">
        <v>26</v>
      </c>
      <c r="J420">
        <v>3</v>
      </c>
      <c r="K420" t="s">
        <v>79</v>
      </c>
      <c r="L420">
        <v>128</v>
      </c>
      <c r="M420">
        <v>72</v>
      </c>
      <c r="N420">
        <v>384</v>
      </c>
      <c r="O420">
        <v>216</v>
      </c>
      <c r="P420">
        <v>168</v>
      </c>
      <c r="Q420" s="18">
        <v>0.4375</v>
      </c>
    </row>
    <row r="421" spans="1:17" x14ac:dyDescent="0.25">
      <c r="A421" s="17">
        <v>46087</v>
      </c>
      <c r="B421" t="s">
        <v>17</v>
      </c>
      <c r="C421" t="s">
        <v>17</v>
      </c>
      <c r="D421" t="s">
        <v>39</v>
      </c>
      <c r="E421" t="s">
        <v>39</v>
      </c>
      <c r="F421" t="s">
        <v>29</v>
      </c>
      <c r="G421" t="s">
        <v>34</v>
      </c>
      <c r="H421" t="s">
        <v>10</v>
      </c>
      <c r="I421" t="s">
        <v>43</v>
      </c>
      <c r="J421">
        <v>8</v>
      </c>
      <c r="K421" t="s">
        <v>80</v>
      </c>
      <c r="L421">
        <v>119</v>
      </c>
      <c r="M421">
        <v>67</v>
      </c>
      <c r="N421">
        <v>952</v>
      </c>
      <c r="O421">
        <v>536</v>
      </c>
      <c r="P421">
        <v>416</v>
      </c>
      <c r="Q421" s="18">
        <v>0.436974789915966</v>
      </c>
    </row>
    <row r="422" spans="1:17" x14ac:dyDescent="0.25">
      <c r="A422" s="17">
        <v>46235</v>
      </c>
      <c r="B422" t="s">
        <v>67</v>
      </c>
      <c r="C422" t="s">
        <v>17</v>
      </c>
      <c r="D422" t="s">
        <v>28</v>
      </c>
      <c r="E422" t="s">
        <v>28</v>
      </c>
      <c r="F422" t="s">
        <v>19</v>
      </c>
      <c r="G422" t="s">
        <v>34</v>
      </c>
      <c r="H422" t="s">
        <v>10</v>
      </c>
      <c r="I422" t="s">
        <v>43</v>
      </c>
      <c r="J422">
        <v>1</v>
      </c>
      <c r="K422" t="s">
        <v>82</v>
      </c>
      <c r="L422">
        <v>119</v>
      </c>
      <c r="M422">
        <v>67</v>
      </c>
      <c r="N422">
        <v>119</v>
      </c>
      <c r="O422">
        <v>67</v>
      </c>
      <c r="P422">
        <v>52</v>
      </c>
      <c r="Q422" s="18">
        <v>0.436974789915966</v>
      </c>
    </row>
    <row r="423" spans="1:17" x14ac:dyDescent="0.25">
      <c r="A423" s="17">
        <v>46052</v>
      </c>
      <c r="B423" t="s">
        <v>7</v>
      </c>
      <c r="C423" t="s">
        <v>42</v>
      </c>
      <c r="D423" t="s">
        <v>52</v>
      </c>
      <c r="E423" t="s">
        <v>13</v>
      </c>
      <c r="F423" t="s">
        <v>24</v>
      </c>
      <c r="G423" t="s">
        <v>15</v>
      </c>
      <c r="H423" t="s">
        <v>45</v>
      </c>
      <c r="I423" t="s">
        <v>26</v>
      </c>
      <c r="J423">
        <v>5</v>
      </c>
      <c r="K423" t="s">
        <v>81</v>
      </c>
      <c r="L423">
        <v>32</v>
      </c>
      <c r="M423">
        <v>14</v>
      </c>
      <c r="N423">
        <v>160</v>
      </c>
      <c r="O423">
        <v>70</v>
      </c>
      <c r="P423">
        <v>90</v>
      </c>
      <c r="Q423" s="18">
        <v>0.5625</v>
      </c>
    </row>
    <row r="424" spans="1:17" x14ac:dyDescent="0.25">
      <c r="A424" s="17">
        <v>46208</v>
      </c>
      <c r="B424" t="s">
        <v>17</v>
      </c>
      <c r="C424" t="s">
        <v>17</v>
      </c>
      <c r="D424" t="s">
        <v>13</v>
      </c>
      <c r="E424" t="s">
        <v>13</v>
      </c>
      <c r="F424" t="s">
        <v>29</v>
      </c>
      <c r="G424" t="s">
        <v>25</v>
      </c>
      <c r="H424" t="s">
        <v>25</v>
      </c>
      <c r="I424" t="s">
        <v>37</v>
      </c>
      <c r="J424">
        <v>8</v>
      </c>
      <c r="K424" t="s">
        <v>79</v>
      </c>
      <c r="L424">
        <v>119</v>
      </c>
      <c r="M424">
        <v>67</v>
      </c>
      <c r="N424">
        <v>952</v>
      </c>
      <c r="O424">
        <v>536</v>
      </c>
      <c r="P424">
        <v>416</v>
      </c>
      <c r="Q424" s="18">
        <v>0.436974789915966</v>
      </c>
    </row>
    <row r="425" spans="1:17" x14ac:dyDescent="0.25">
      <c r="A425" s="17">
        <v>46134</v>
      </c>
      <c r="B425" t="s">
        <v>7</v>
      </c>
      <c r="C425" t="s">
        <v>42</v>
      </c>
      <c r="D425" t="s">
        <v>33</v>
      </c>
      <c r="E425" t="s">
        <v>39</v>
      </c>
      <c r="F425" t="s">
        <v>24</v>
      </c>
      <c r="G425" t="s">
        <v>45</v>
      </c>
      <c r="H425" t="s">
        <v>45</v>
      </c>
      <c r="I425" t="s">
        <v>31</v>
      </c>
      <c r="J425">
        <v>4</v>
      </c>
      <c r="K425" t="s">
        <v>80</v>
      </c>
      <c r="L425">
        <v>32</v>
      </c>
      <c r="M425">
        <v>14</v>
      </c>
      <c r="N425">
        <v>128</v>
      </c>
      <c r="O425">
        <v>56</v>
      </c>
      <c r="P425">
        <v>72</v>
      </c>
      <c r="Q425" s="18">
        <v>0.5625</v>
      </c>
    </row>
    <row r="426" spans="1:17" x14ac:dyDescent="0.25">
      <c r="A426" s="17">
        <v>46202</v>
      </c>
      <c r="B426" t="s">
        <v>38</v>
      </c>
      <c r="C426" t="s">
        <v>76</v>
      </c>
      <c r="D426" t="s">
        <v>13</v>
      </c>
      <c r="E426" t="s">
        <v>13</v>
      </c>
      <c r="F426" t="s">
        <v>24</v>
      </c>
      <c r="G426" t="s">
        <v>10</v>
      </c>
      <c r="H426" t="s">
        <v>10</v>
      </c>
      <c r="I426" t="s">
        <v>26</v>
      </c>
      <c r="J426">
        <v>4</v>
      </c>
      <c r="K426" t="s">
        <v>80</v>
      </c>
      <c r="L426">
        <v>89</v>
      </c>
      <c r="M426">
        <v>47</v>
      </c>
      <c r="N426">
        <v>356</v>
      </c>
      <c r="O426">
        <v>188</v>
      </c>
      <c r="P426">
        <v>168</v>
      </c>
      <c r="Q426" s="18">
        <v>0.47191011235955099</v>
      </c>
    </row>
    <row r="427" spans="1:17" x14ac:dyDescent="0.25">
      <c r="A427" s="17">
        <v>46154</v>
      </c>
      <c r="B427" t="s">
        <v>62</v>
      </c>
      <c r="C427" t="s">
        <v>62</v>
      </c>
      <c r="D427" t="s">
        <v>52</v>
      </c>
      <c r="E427" t="s">
        <v>13</v>
      </c>
      <c r="F427" t="s">
        <v>9</v>
      </c>
      <c r="G427" t="s">
        <v>45</v>
      </c>
      <c r="H427" t="s">
        <v>45</v>
      </c>
      <c r="I427" t="s">
        <v>61</v>
      </c>
      <c r="J427">
        <v>10</v>
      </c>
      <c r="K427" t="s">
        <v>80</v>
      </c>
      <c r="L427">
        <v>112</v>
      </c>
      <c r="M427">
        <v>64</v>
      </c>
      <c r="N427">
        <v>1120</v>
      </c>
      <c r="O427">
        <v>640</v>
      </c>
      <c r="P427">
        <v>480</v>
      </c>
      <c r="Q427" s="18">
        <v>0.42857142857142899</v>
      </c>
    </row>
    <row r="428" spans="1:17" x14ac:dyDescent="0.25">
      <c r="A428" s="17">
        <v>46062</v>
      </c>
      <c r="B428" t="s">
        <v>62</v>
      </c>
      <c r="C428" t="s">
        <v>62</v>
      </c>
      <c r="D428" t="s">
        <v>39</v>
      </c>
      <c r="E428" t="s">
        <v>39</v>
      </c>
      <c r="F428" t="s">
        <v>19</v>
      </c>
      <c r="G428" t="s">
        <v>25</v>
      </c>
      <c r="H428" t="s">
        <v>25</v>
      </c>
      <c r="I428" t="s">
        <v>16</v>
      </c>
      <c r="J428">
        <v>8</v>
      </c>
      <c r="K428" t="s">
        <v>81</v>
      </c>
      <c r="L428">
        <v>112</v>
      </c>
      <c r="M428">
        <v>64</v>
      </c>
      <c r="N428">
        <v>896</v>
      </c>
      <c r="O428">
        <v>512</v>
      </c>
      <c r="P428">
        <v>384</v>
      </c>
      <c r="Q428" s="18">
        <v>0.42857142857142899</v>
      </c>
    </row>
    <row r="429" spans="1:17" x14ac:dyDescent="0.25">
      <c r="A429" s="17">
        <v>46108</v>
      </c>
      <c r="B429" t="s">
        <v>38</v>
      </c>
      <c r="C429" t="s">
        <v>76</v>
      </c>
      <c r="D429" t="s">
        <v>23</v>
      </c>
      <c r="E429" t="s">
        <v>13</v>
      </c>
      <c r="F429" t="s">
        <v>29</v>
      </c>
      <c r="G429" t="s">
        <v>20</v>
      </c>
      <c r="H429" t="s">
        <v>69</v>
      </c>
      <c r="I429" t="s">
        <v>26</v>
      </c>
      <c r="J429">
        <v>5</v>
      </c>
      <c r="K429" t="s">
        <v>79</v>
      </c>
      <c r="L429">
        <v>89</v>
      </c>
      <c r="M429">
        <v>47</v>
      </c>
      <c r="N429">
        <v>445</v>
      </c>
      <c r="O429">
        <v>235</v>
      </c>
      <c r="P429">
        <v>210</v>
      </c>
      <c r="Q429" s="18">
        <v>0.47191011235955099</v>
      </c>
    </row>
    <row r="430" spans="1:17" x14ac:dyDescent="0.25">
      <c r="A430" s="17">
        <v>46106</v>
      </c>
      <c r="B430" t="s">
        <v>62</v>
      </c>
      <c r="C430" t="s">
        <v>62</v>
      </c>
      <c r="D430" t="s">
        <v>52</v>
      </c>
      <c r="E430" t="s">
        <v>13</v>
      </c>
      <c r="F430" t="s">
        <v>19</v>
      </c>
      <c r="G430" t="s">
        <v>30</v>
      </c>
      <c r="H430" t="s">
        <v>57</v>
      </c>
      <c r="I430" t="s">
        <v>35</v>
      </c>
      <c r="J430">
        <v>2</v>
      </c>
      <c r="K430" t="s">
        <v>80</v>
      </c>
      <c r="L430">
        <v>112</v>
      </c>
      <c r="M430">
        <v>64</v>
      </c>
      <c r="N430">
        <v>224</v>
      </c>
      <c r="O430">
        <v>128</v>
      </c>
      <c r="P430">
        <v>96</v>
      </c>
      <c r="Q430" s="18">
        <v>0.42857142857142899</v>
      </c>
    </row>
    <row r="431" spans="1:17" x14ac:dyDescent="0.25">
      <c r="A431" s="17">
        <v>46209</v>
      </c>
      <c r="B431" t="s">
        <v>44</v>
      </c>
      <c r="C431" t="s">
        <v>65</v>
      </c>
      <c r="D431" t="s">
        <v>13</v>
      </c>
      <c r="E431" t="s">
        <v>13</v>
      </c>
      <c r="F431" t="s">
        <v>19</v>
      </c>
      <c r="G431" t="s">
        <v>30</v>
      </c>
      <c r="H431" t="s">
        <v>57</v>
      </c>
      <c r="I431" t="s">
        <v>35</v>
      </c>
      <c r="J431">
        <v>6</v>
      </c>
      <c r="K431" t="s">
        <v>82</v>
      </c>
      <c r="L431">
        <v>128</v>
      </c>
      <c r="M431">
        <v>72</v>
      </c>
      <c r="N431">
        <v>768</v>
      </c>
      <c r="O431">
        <v>432</v>
      </c>
      <c r="P431">
        <v>336</v>
      </c>
      <c r="Q431" s="18">
        <v>0.4375</v>
      </c>
    </row>
    <row r="432" spans="1:17" x14ac:dyDescent="0.25">
      <c r="A432" s="17">
        <v>46247</v>
      </c>
      <c r="B432" t="s">
        <v>75</v>
      </c>
      <c r="C432" t="s">
        <v>62</v>
      </c>
      <c r="D432" t="s">
        <v>23</v>
      </c>
      <c r="E432" t="s">
        <v>13</v>
      </c>
      <c r="F432" t="s">
        <v>24</v>
      </c>
      <c r="G432" t="s">
        <v>15</v>
      </c>
      <c r="H432" t="s">
        <v>45</v>
      </c>
      <c r="I432" t="s">
        <v>41</v>
      </c>
      <c r="J432">
        <v>7</v>
      </c>
      <c r="K432" t="s">
        <v>81</v>
      </c>
      <c r="L432">
        <v>112</v>
      </c>
      <c r="M432">
        <v>64</v>
      </c>
      <c r="N432">
        <v>784</v>
      </c>
      <c r="O432">
        <v>448</v>
      </c>
      <c r="P432">
        <v>336</v>
      </c>
      <c r="Q432" s="18">
        <v>0.42857142857142899</v>
      </c>
    </row>
    <row r="433" spans="1:17" x14ac:dyDescent="0.25">
      <c r="A433" s="17">
        <v>46201</v>
      </c>
      <c r="B433" t="s">
        <v>55</v>
      </c>
      <c r="C433" t="s">
        <v>71</v>
      </c>
      <c r="D433" t="s">
        <v>8</v>
      </c>
      <c r="E433" t="s">
        <v>39</v>
      </c>
      <c r="F433" t="s">
        <v>29</v>
      </c>
      <c r="G433" t="s">
        <v>40</v>
      </c>
      <c r="H433" t="s">
        <v>25</v>
      </c>
      <c r="I433" t="s">
        <v>50</v>
      </c>
      <c r="J433">
        <v>3</v>
      </c>
      <c r="K433" t="s">
        <v>80</v>
      </c>
      <c r="L433">
        <v>76</v>
      </c>
      <c r="M433">
        <v>39</v>
      </c>
      <c r="N433">
        <v>228</v>
      </c>
      <c r="O433">
        <v>117</v>
      </c>
      <c r="P433">
        <v>111</v>
      </c>
      <c r="Q433" s="18">
        <v>0.48684210526315802</v>
      </c>
    </row>
    <row r="434" spans="1:17" x14ac:dyDescent="0.25">
      <c r="A434" s="17">
        <v>46080</v>
      </c>
      <c r="B434" t="s">
        <v>63</v>
      </c>
      <c r="C434" t="s">
        <v>76</v>
      </c>
      <c r="D434" t="s">
        <v>8</v>
      </c>
      <c r="E434" t="s">
        <v>39</v>
      </c>
      <c r="F434" t="s">
        <v>14</v>
      </c>
      <c r="G434" t="s">
        <v>10</v>
      </c>
      <c r="H434" t="s">
        <v>10</v>
      </c>
      <c r="I434" t="s">
        <v>35</v>
      </c>
      <c r="J434">
        <v>5</v>
      </c>
      <c r="K434" t="s">
        <v>79</v>
      </c>
      <c r="L434">
        <v>89</v>
      </c>
      <c r="M434">
        <v>47</v>
      </c>
      <c r="N434">
        <v>445</v>
      </c>
      <c r="O434">
        <v>235</v>
      </c>
      <c r="P434">
        <v>210</v>
      </c>
      <c r="Q434" s="18">
        <v>0.47191011235955099</v>
      </c>
    </row>
    <row r="435" spans="1:17" x14ac:dyDescent="0.25">
      <c r="A435" s="17">
        <v>46074</v>
      </c>
      <c r="B435" t="s">
        <v>42</v>
      </c>
      <c r="C435" t="s">
        <v>42</v>
      </c>
      <c r="D435" t="s">
        <v>48</v>
      </c>
      <c r="E435" t="s">
        <v>48</v>
      </c>
      <c r="F435" t="s">
        <v>29</v>
      </c>
      <c r="G435" t="s">
        <v>10</v>
      </c>
      <c r="H435" t="s">
        <v>10</v>
      </c>
      <c r="I435" t="s">
        <v>31</v>
      </c>
      <c r="J435">
        <v>3</v>
      </c>
      <c r="K435" t="s">
        <v>79</v>
      </c>
      <c r="L435">
        <v>32</v>
      </c>
      <c r="M435">
        <v>14</v>
      </c>
      <c r="N435">
        <v>96</v>
      </c>
      <c r="O435">
        <v>42</v>
      </c>
      <c r="P435">
        <v>54</v>
      </c>
      <c r="Q435" s="18">
        <v>0.5625</v>
      </c>
    </row>
    <row r="436" spans="1:17" x14ac:dyDescent="0.25">
      <c r="A436" s="17">
        <v>46086</v>
      </c>
      <c r="B436" t="s">
        <v>36</v>
      </c>
      <c r="C436" t="s">
        <v>62</v>
      </c>
      <c r="D436" t="s">
        <v>48</v>
      </c>
      <c r="E436" t="s">
        <v>48</v>
      </c>
      <c r="F436" t="s">
        <v>19</v>
      </c>
      <c r="G436" t="s">
        <v>73</v>
      </c>
      <c r="H436" t="s">
        <v>57</v>
      </c>
      <c r="I436" t="s">
        <v>41</v>
      </c>
      <c r="J436">
        <v>7</v>
      </c>
      <c r="K436" t="s">
        <v>81</v>
      </c>
      <c r="L436">
        <v>112</v>
      </c>
      <c r="M436">
        <v>64</v>
      </c>
      <c r="N436">
        <v>784</v>
      </c>
      <c r="O436">
        <v>448</v>
      </c>
      <c r="P436">
        <v>336</v>
      </c>
      <c r="Q436" s="18">
        <v>0.42857142857142899</v>
      </c>
    </row>
    <row r="437" spans="1:17" x14ac:dyDescent="0.25">
      <c r="A437" s="17">
        <v>46144</v>
      </c>
      <c r="B437" t="s">
        <v>7</v>
      </c>
      <c r="C437" t="s">
        <v>42</v>
      </c>
      <c r="D437" t="s">
        <v>13</v>
      </c>
      <c r="E437" t="s">
        <v>13</v>
      </c>
      <c r="F437" t="s">
        <v>14</v>
      </c>
      <c r="G437" t="s">
        <v>34</v>
      </c>
      <c r="H437" t="s">
        <v>10</v>
      </c>
      <c r="I437" t="s">
        <v>50</v>
      </c>
      <c r="J437">
        <v>3</v>
      </c>
      <c r="K437" t="s">
        <v>79</v>
      </c>
      <c r="L437">
        <v>32</v>
      </c>
      <c r="M437">
        <v>14</v>
      </c>
      <c r="N437">
        <v>96</v>
      </c>
      <c r="O437">
        <v>42</v>
      </c>
      <c r="P437">
        <v>54</v>
      </c>
      <c r="Q437" s="18">
        <v>0.5625</v>
      </c>
    </row>
    <row r="438" spans="1:17" x14ac:dyDescent="0.25">
      <c r="A438" s="17">
        <v>46162</v>
      </c>
      <c r="B438" t="s">
        <v>12</v>
      </c>
      <c r="C438" t="s">
        <v>65</v>
      </c>
      <c r="D438" t="s">
        <v>8</v>
      </c>
      <c r="E438" t="s">
        <v>39</v>
      </c>
      <c r="F438" t="s">
        <v>29</v>
      </c>
      <c r="G438" t="s">
        <v>10</v>
      </c>
      <c r="H438" t="s">
        <v>10</v>
      </c>
      <c r="I438" t="s">
        <v>41</v>
      </c>
      <c r="J438">
        <v>8</v>
      </c>
      <c r="K438" t="s">
        <v>81</v>
      </c>
      <c r="L438">
        <v>128</v>
      </c>
      <c r="M438">
        <v>72</v>
      </c>
      <c r="N438">
        <v>1024</v>
      </c>
      <c r="O438">
        <v>576</v>
      </c>
      <c r="P438">
        <v>448</v>
      </c>
      <c r="Q438" s="18">
        <v>0.4375</v>
      </c>
    </row>
    <row r="439" spans="1:17" x14ac:dyDescent="0.25">
      <c r="A439" s="17">
        <v>46105</v>
      </c>
      <c r="B439" t="s">
        <v>7</v>
      </c>
      <c r="C439" t="s">
        <v>42</v>
      </c>
      <c r="D439" t="s">
        <v>52</v>
      </c>
      <c r="E439" t="s">
        <v>13</v>
      </c>
      <c r="F439" t="s">
        <v>19</v>
      </c>
      <c r="G439" t="s">
        <v>40</v>
      </c>
      <c r="H439" t="s">
        <v>25</v>
      </c>
      <c r="I439" t="s">
        <v>58</v>
      </c>
      <c r="J439">
        <v>3</v>
      </c>
      <c r="K439" t="s">
        <v>80</v>
      </c>
      <c r="L439">
        <v>32</v>
      </c>
      <c r="M439">
        <v>14</v>
      </c>
      <c r="N439">
        <v>96</v>
      </c>
      <c r="O439">
        <v>42</v>
      </c>
      <c r="P439">
        <v>54</v>
      </c>
      <c r="Q439" s="18">
        <v>0.5625</v>
      </c>
    </row>
    <row r="440" spans="1:17" x14ac:dyDescent="0.25">
      <c r="A440" s="17">
        <v>46175</v>
      </c>
      <c r="B440" t="s">
        <v>47</v>
      </c>
      <c r="C440" t="s">
        <v>17</v>
      </c>
      <c r="D440" t="s">
        <v>56</v>
      </c>
      <c r="E440" t="s">
        <v>28</v>
      </c>
      <c r="F440" t="s">
        <v>24</v>
      </c>
      <c r="G440" t="s">
        <v>45</v>
      </c>
      <c r="H440" t="s">
        <v>45</v>
      </c>
      <c r="I440" t="s">
        <v>31</v>
      </c>
      <c r="J440">
        <v>5</v>
      </c>
      <c r="K440" t="s">
        <v>81</v>
      </c>
      <c r="L440">
        <v>119</v>
      </c>
      <c r="M440">
        <v>67</v>
      </c>
      <c r="N440">
        <v>595</v>
      </c>
      <c r="O440">
        <v>335</v>
      </c>
      <c r="P440">
        <v>260</v>
      </c>
      <c r="Q440" s="18">
        <v>0.436974789915966</v>
      </c>
    </row>
    <row r="441" spans="1:17" x14ac:dyDescent="0.25">
      <c r="A441" s="17">
        <v>46126</v>
      </c>
      <c r="B441" t="s">
        <v>63</v>
      </c>
      <c r="C441" t="s">
        <v>76</v>
      </c>
      <c r="D441" t="s">
        <v>52</v>
      </c>
      <c r="E441" t="s">
        <v>13</v>
      </c>
      <c r="F441" t="s">
        <v>19</v>
      </c>
      <c r="G441" t="s">
        <v>10</v>
      </c>
      <c r="H441" t="s">
        <v>10</v>
      </c>
      <c r="I441" t="s">
        <v>41</v>
      </c>
      <c r="J441">
        <v>3</v>
      </c>
      <c r="K441" t="s">
        <v>82</v>
      </c>
      <c r="L441">
        <v>89</v>
      </c>
      <c r="M441">
        <v>47</v>
      </c>
      <c r="N441">
        <v>267</v>
      </c>
      <c r="O441">
        <v>141</v>
      </c>
      <c r="P441">
        <v>126</v>
      </c>
      <c r="Q441" s="18">
        <v>0.47191011235955099</v>
      </c>
    </row>
    <row r="442" spans="1:17" x14ac:dyDescent="0.25">
      <c r="A442" s="17">
        <v>46189</v>
      </c>
      <c r="B442" t="s">
        <v>32</v>
      </c>
      <c r="C442" t="s">
        <v>32</v>
      </c>
      <c r="D442" t="s">
        <v>8</v>
      </c>
      <c r="E442" t="s">
        <v>39</v>
      </c>
      <c r="F442" t="s">
        <v>9</v>
      </c>
      <c r="G442" t="s">
        <v>60</v>
      </c>
      <c r="H442" t="s">
        <v>10</v>
      </c>
      <c r="I442" t="s">
        <v>35</v>
      </c>
      <c r="J442">
        <v>13</v>
      </c>
      <c r="K442" t="s">
        <v>80</v>
      </c>
      <c r="L442">
        <v>105</v>
      </c>
      <c r="M442">
        <v>58</v>
      </c>
      <c r="N442">
        <v>1365</v>
      </c>
      <c r="O442">
        <v>754</v>
      </c>
      <c r="P442">
        <v>611</v>
      </c>
      <c r="Q442" s="18">
        <v>0.44761904761904803</v>
      </c>
    </row>
    <row r="443" spans="1:17" x14ac:dyDescent="0.25">
      <c r="A443" s="17">
        <v>46023</v>
      </c>
      <c r="B443" t="s">
        <v>55</v>
      </c>
      <c r="C443" t="s">
        <v>71</v>
      </c>
      <c r="D443" t="s">
        <v>13</v>
      </c>
      <c r="E443" t="s">
        <v>13</v>
      </c>
      <c r="F443" t="s">
        <v>19</v>
      </c>
      <c r="G443" t="s">
        <v>60</v>
      </c>
      <c r="H443" t="s">
        <v>10</v>
      </c>
      <c r="I443" t="s">
        <v>37</v>
      </c>
      <c r="J443">
        <v>12</v>
      </c>
      <c r="K443" t="s">
        <v>81</v>
      </c>
      <c r="L443">
        <v>76</v>
      </c>
      <c r="M443">
        <v>39</v>
      </c>
      <c r="N443">
        <v>912</v>
      </c>
      <c r="O443">
        <v>468</v>
      </c>
      <c r="P443">
        <v>444</v>
      </c>
      <c r="Q443" s="18">
        <v>0.48684210526315802</v>
      </c>
    </row>
    <row r="444" spans="1:17" x14ac:dyDescent="0.25">
      <c r="A444" s="17">
        <v>46207</v>
      </c>
      <c r="B444" t="s">
        <v>38</v>
      </c>
      <c r="C444" t="s">
        <v>76</v>
      </c>
      <c r="D444" t="s">
        <v>23</v>
      </c>
      <c r="E444" t="s">
        <v>13</v>
      </c>
      <c r="F444" t="s">
        <v>9</v>
      </c>
      <c r="G444" t="s">
        <v>34</v>
      </c>
      <c r="H444" t="s">
        <v>10</v>
      </c>
      <c r="I444" t="s">
        <v>31</v>
      </c>
      <c r="J444">
        <v>3</v>
      </c>
      <c r="K444" t="s">
        <v>80</v>
      </c>
      <c r="L444">
        <v>89</v>
      </c>
      <c r="M444">
        <v>47</v>
      </c>
      <c r="N444">
        <v>267</v>
      </c>
      <c r="O444">
        <v>141</v>
      </c>
      <c r="P444">
        <v>126</v>
      </c>
      <c r="Q444" s="18">
        <v>0.47191011235955099</v>
      </c>
    </row>
    <row r="445" spans="1:17" x14ac:dyDescent="0.25">
      <c r="A445" s="17">
        <v>46188</v>
      </c>
      <c r="B445" t="s">
        <v>74</v>
      </c>
      <c r="C445" t="s">
        <v>32</v>
      </c>
      <c r="D445" t="s">
        <v>68</v>
      </c>
      <c r="E445" t="s">
        <v>48</v>
      </c>
      <c r="F445" t="s">
        <v>14</v>
      </c>
      <c r="G445" t="s">
        <v>10</v>
      </c>
      <c r="H445" t="s">
        <v>10</v>
      </c>
      <c r="I445" t="s">
        <v>54</v>
      </c>
      <c r="J445">
        <v>2</v>
      </c>
      <c r="K445" t="s">
        <v>81</v>
      </c>
      <c r="L445">
        <v>105</v>
      </c>
      <c r="M445">
        <v>58</v>
      </c>
      <c r="N445">
        <v>210</v>
      </c>
      <c r="O445">
        <v>116</v>
      </c>
      <c r="P445">
        <v>94</v>
      </c>
      <c r="Q445" s="18">
        <v>0.44761904761904803</v>
      </c>
    </row>
    <row r="446" spans="1:17" x14ac:dyDescent="0.25">
      <c r="A446" s="17">
        <v>46178</v>
      </c>
      <c r="B446" t="s">
        <v>65</v>
      </c>
      <c r="C446" t="s">
        <v>65</v>
      </c>
      <c r="D446" t="s">
        <v>33</v>
      </c>
      <c r="E446" t="s">
        <v>39</v>
      </c>
      <c r="F446" t="s">
        <v>9</v>
      </c>
      <c r="G446" t="s">
        <v>40</v>
      </c>
      <c r="H446" t="s">
        <v>25</v>
      </c>
      <c r="I446" t="s">
        <v>46</v>
      </c>
      <c r="J446">
        <v>14</v>
      </c>
      <c r="K446" t="s">
        <v>81</v>
      </c>
      <c r="L446">
        <v>128</v>
      </c>
      <c r="M446">
        <v>72</v>
      </c>
      <c r="N446">
        <v>1792</v>
      </c>
      <c r="O446">
        <v>1008</v>
      </c>
      <c r="P446">
        <v>784</v>
      </c>
      <c r="Q446" s="18">
        <v>0.4375</v>
      </c>
    </row>
    <row r="447" spans="1:17" x14ac:dyDescent="0.25">
      <c r="A447" s="17">
        <v>46193</v>
      </c>
      <c r="B447" t="s">
        <v>62</v>
      </c>
      <c r="C447" t="s">
        <v>62</v>
      </c>
      <c r="D447" t="s">
        <v>33</v>
      </c>
      <c r="E447" t="s">
        <v>39</v>
      </c>
      <c r="F447" t="s">
        <v>19</v>
      </c>
      <c r="G447" t="s">
        <v>60</v>
      </c>
      <c r="H447" t="s">
        <v>10</v>
      </c>
      <c r="I447" t="s">
        <v>31</v>
      </c>
      <c r="J447">
        <v>4</v>
      </c>
      <c r="K447" t="s">
        <v>82</v>
      </c>
      <c r="L447">
        <v>112</v>
      </c>
      <c r="M447">
        <v>64</v>
      </c>
      <c r="N447">
        <v>448</v>
      </c>
      <c r="O447">
        <v>256</v>
      </c>
      <c r="P447">
        <v>192</v>
      </c>
      <c r="Q447" s="18">
        <v>0.42857142857142899</v>
      </c>
    </row>
    <row r="448" spans="1:17" x14ac:dyDescent="0.25">
      <c r="A448" s="17">
        <v>46215</v>
      </c>
      <c r="B448" t="s">
        <v>22</v>
      </c>
      <c r="C448" t="s">
        <v>51</v>
      </c>
      <c r="D448" t="s">
        <v>33</v>
      </c>
      <c r="E448" t="s">
        <v>39</v>
      </c>
      <c r="F448" t="s">
        <v>19</v>
      </c>
      <c r="G448" t="s">
        <v>49</v>
      </c>
      <c r="H448" t="s">
        <v>69</v>
      </c>
      <c r="I448" t="s">
        <v>16</v>
      </c>
      <c r="J448">
        <v>4</v>
      </c>
      <c r="K448" t="s">
        <v>81</v>
      </c>
      <c r="L448">
        <v>54</v>
      </c>
      <c r="M448">
        <v>28</v>
      </c>
      <c r="N448">
        <v>216</v>
      </c>
      <c r="O448">
        <v>112</v>
      </c>
      <c r="P448">
        <v>104</v>
      </c>
      <c r="Q448" s="18">
        <v>0.48148148148148101</v>
      </c>
    </row>
    <row r="449" spans="1:17" x14ac:dyDescent="0.25">
      <c r="A449" s="17">
        <v>46131</v>
      </c>
      <c r="B449" t="s">
        <v>55</v>
      </c>
      <c r="C449" t="s">
        <v>71</v>
      </c>
      <c r="D449" t="s">
        <v>39</v>
      </c>
      <c r="E449" t="s">
        <v>39</v>
      </c>
      <c r="F449" t="s">
        <v>14</v>
      </c>
      <c r="G449" t="s">
        <v>10</v>
      </c>
      <c r="H449" t="s">
        <v>10</v>
      </c>
      <c r="I449" t="s">
        <v>11</v>
      </c>
      <c r="J449">
        <v>4</v>
      </c>
      <c r="K449" t="s">
        <v>80</v>
      </c>
      <c r="L449">
        <v>76</v>
      </c>
      <c r="M449">
        <v>39</v>
      </c>
      <c r="N449">
        <v>304</v>
      </c>
      <c r="O449">
        <v>156</v>
      </c>
      <c r="P449">
        <v>148</v>
      </c>
      <c r="Q449" s="18">
        <v>0.48684210526315802</v>
      </c>
    </row>
    <row r="450" spans="1:17" x14ac:dyDescent="0.25">
      <c r="A450" s="17">
        <v>46245</v>
      </c>
      <c r="B450" t="s">
        <v>67</v>
      </c>
      <c r="C450" t="s">
        <v>17</v>
      </c>
      <c r="D450" t="s">
        <v>68</v>
      </c>
      <c r="E450" t="s">
        <v>48</v>
      </c>
      <c r="F450" t="s">
        <v>9</v>
      </c>
      <c r="G450" t="s">
        <v>20</v>
      </c>
      <c r="H450" t="s">
        <v>69</v>
      </c>
      <c r="I450" t="s">
        <v>16</v>
      </c>
      <c r="J450">
        <v>1</v>
      </c>
      <c r="K450" t="s">
        <v>81</v>
      </c>
      <c r="L450">
        <v>119</v>
      </c>
      <c r="M450">
        <v>67</v>
      </c>
      <c r="N450">
        <v>119</v>
      </c>
      <c r="O450">
        <v>67</v>
      </c>
      <c r="P450">
        <v>52</v>
      </c>
      <c r="Q450" s="18">
        <v>0.436974789915966</v>
      </c>
    </row>
    <row r="451" spans="1:17" x14ac:dyDescent="0.25">
      <c r="A451" s="17">
        <v>46238</v>
      </c>
      <c r="B451" t="s">
        <v>71</v>
      </c>
      <c r="C451" t="s">
        <v>71</v>
      </c>
      <c r="D451" t="s">
        <v>33</v>
      </c>
      <c r="E451" t="s">
        <v>39</v>
      </c>
      <c r="F451" t="s">
        <v>19</v>
      </c>
      <c r="G451" t="s">
        <v>53</v>
      </c>
      <c r="H451" t="s">
        <v>25</v>
      </c>
      <c r="I451" t="s">
        <v>35</v>
      </c>
      <c r="J451">
        <v>5</v>
      </c>
      <c r="K451" t="s">
        <v>81</v>
      </c>
      <c r="L451">
        <v>76</v>
      </c>
      <c r="M451">
        <v>39</v>
      </c>
      <c r="N451">
        <v>380</v>
      </c>
      <c r="O451">
        <v>195</v>
      </c>
      <c r="P451">
        <v>185</v>
      </c>
      <c r="Q451" s="18">
        <v>0.48684210526315802</v>
      </c>
    </row>
    <row r="452" spans="1:17" x14ac:dyDescent="0.25">
      <c r="A452" s="17">
        <v>46200</v>
      </c>
      <c r="B452" t="s">
        <v>75</v>
      </c>
      <c r="C452" t="s">
        <v>62</v>
      </c>
      <c r="D452" t="s">
        <v>39</v>
      </c>
      <c r="E452" t="s">
        <v>39</v>
      </c>
      <c r="F452" t="s">
        <v>14</v>
      </c>
      <c r="G452" t="s">
        <v>40</v>
      </c>
      <c r="H452" t="s">
        <v>25</v>
      </c>
      <c r="I452" t="s">
        <v>50</v>
      </c>
      <c r="J452">
        <v>5</v>
      </c>
      <c r="K452" t="s">
        <v>81</v>
      </c>
      <c r="L452">
        <v>112</v>
      </c>
      <c r="M452">
        <v>64</v>
      </c>
      <c r="N452">
        <v>560</v>
      </c>
      <c r="O452">
        <v>320</v>
      </c>
      <c r="P452">
        <v>240</v>
      </c>
      <c r="Q452" s="18">
        <v>0.42857142857142899</v>
      </c>
    </row>
    <row r="453" spans="1:17" x14ac:dyDescent="0.25">
      <c r="A453" s="17">
        <v>46030</v>
      </c>
      <c r="B453" t="s">
        <v>36</v>
      </c>
      <c r="C453" t="s">
        <v>62</v>
      </c>
      <c r="D453" t="s">
        <v>33</v>
      </c>
      <c r="E453" t="s">
        <v>39</v>
      </c>
      <c r="F453" t="s">
        <v>24</v>
      </c>
      <c r="G453" t="s">
        <v>15</v>
      </c>
      <c r="H453" t="s">
        <v>45</v>
      </c>
      <c r="I453" t="s">
        <v>21</v>
      </c>
      <c r="J453">
        <v>3</v>
      </c>
      <c r="K453" t="s">
        <v>81</v>
      </c>
      <c r="L453">
        <v>112</v>
      </c>
      <c r="M453">
        <v>64</v>
      </c>
      <c r="N453">
        <v>336</v>
      </c>
      <c r="O453">
        <v>192</v>
      </c>
      <c r="P453">
        <v>144</v>
      </c>
      <c r="Q453" s="18">
        <v>0.42857142857142899</v>
      </c>
    </row>
    <row r="454" spans="1:17" x14ac:dyDescent="0.25">
      <c r="A454" s="17">
        <v>46226</v>
      </c>
      <c r="B454" t="s">
        <v>62</v>
      </c>
      <c r="C454" t="s">
        <v>62</v>
      </c>
      <c r="D454" t="s">
        <v>8</v>
      </c>
      <c r="E454" t="s">
        <v>39</v>
      </c>
      <c r="F454" t="s">
        <v>24</v>
      </c>
      <c r="G454" t="s">
        <v>66</v>
      </c>
      <c r="H454" t="s">
        <v>45</v>
      </c>
      <c r="I454" t="s">
        <v>41</v>
      </c>
      <c r="J454">
        <v>11</v>
      </c>
      <c r="K454" t="s">
        <v>79</v>
      </c>
      <c r="L454">
        <v>112</v>
      </c>
      <c r="M454">
        <v>64</v>
      </c>
      <c r="N454">
        <v>1232</v>
      </c>
      <c r="O454">
        <v>704</v>
      </c>
      <c r="P454">
        <v>528</v>
      </c>
      <c r="Q454" s="18">
        <v>0.42857142857142899</v>
      </c>
    </row>
    <row r="455" spans="1:17" x14ac:dyDescent="0.25">
      <c r="A455" s="17">
        <v>46235</v>
      </c>
      <c r="B455" t="s">
        <v>27</v>
      </c>
      <c r="C455" t="s">
        <v>71</v>
      </c>
      <c r="D455" t="s">
        <v>23</v>
      </c>
      <c r="E455" t="s">
        <v>13</v>
      </c>
      <c r="F455" t="s">
        <v>9</v>
      </c>
      <c r="G455" t="s">
        <v>60</v>
      </c>
      <c r="H455" t="s">
        <v>10</v>
      </c>
      <c r="I455" t="s">
        <v>35</v>
      </c>
      <c r="J455">
        <v>9</v>
      </c>
      <c r="K455" t="s">
        <v>82</v>
      </c>
      <c r="L455">
        <v>76</v>
      </c>
      <c r="M455">
        <v>39</v>
      </c>
      <c r="N455">
        <v>684</v>
      </c>
      <c r="O455">
        <v>351</v>
      </c>
      <c r="P455">
        <v>333</v>
      </c>
      <c r="Q455" s="18">
        <v>0.48684210526315802</v>
      </c>
    </row>
    <row r="456" spans="1:17" x14ac:dyDescent="0.25">
      <c r="A456" s="17">
        <v>46223</v>
      </c>
      <c r="B456" t="s">
        <v>32</v>
      </c>
      <c r="C456" t="s">
        <v>32</v>
      </c>
      <c r="D456" t="s">
        <v>39</v>
      </c>
      <c r="E456" t="s">
        <v>39</v>
      </c>
      <c r="F456" t="s">
        <v>24</v>
      </c>
      <c r="G456" t="s">
        <v>40</v>
      </c>
      <c r="H456" t="s">
        <v>25</v>
      </c>
      <c r="I456" t="s">
        <v>31</v>
      </c>
      <c r="J456">
        <v>15</v>
      </c>
      <c r="K456" t="s">
        <v>79</v>
      </c>
      <c r="L456">
        <v>105</v>
      </c>
      <c r="M456">
        <v>58</v>
      </c>
      <c r="N456">
        <v>1575</v>
      </c>
      <c r="O456">
        <v>870</v>
      </c>
      <c r="P456">
        <v>705</v>
      </c>
      <c r="Q456" s="18">
        <v>0.44761904761904803</v>
      </c>
    </row>
    <row r="457" spans="1:17" x14ac:dyDescent="0.25">
      <c r="A457" s="17">
        <v>46049</v>
      </c>
      <c r="B457" t="s">
        <v>76</v>
      </c>
      <c r="C457" t="s">
        <v>76</v>
      </c>
      <c r="D457" t="s">
        <v>23</v>
      </c>
      <c r="E457" t="s">
        <v>13</v>
      </c>
      <c r="F457" t="s">
        <v>24</v>
      </c>
      <c r="G457" t="s">
        <v>40</v>
      </c>
      <c r="H457" t="s">
        <v>25</v>
      </c>
      <c r="I457" t="s">
        <v>26</v>
      </c>
      <c r="J457">
        <v>10</v>
      </c>
      <c r="K457" t="s">
        <v>81</v>
      </c>
      <c r="L457">
        <v>89</v>
      </c>
      <c r="M457">
        <v>47</v>
      </c>
      <c r="N457">
        <v>890</v>
      </c>
      <c r="O457">
        <v>470</v>
      </c>
      <c r="P457">
        <v>420</v>
      </c>
      <c r="Q457" s="18">
        <v>0.47191011235955099</v>
      </c>
    </row>
    <row r="458" spans="1:17" x14ac:dyDescent="0.25">
      <c r="A458" s="17">
        <v>46083</v>
      </c>
      <c r="B458" t="s">
        <v>17</v>
      </c>
      <c r="C458" t="s">
        <v>17</v>
      </c>
      <c r="D458" t="s">
        <v>8</v>
      </c>
      <c r="E458" t="s">
        <v>39</v>
      </c>
      <c r="F458" t="s">
        <v>14</v>
      </c>
      <c r="G458" t="s">
        <v>40</v>
      </c>
      <c r="H458" t="s">
        <v>25</v>
      </c>
      <c r="I458" t="s">
        <v>46</v>
      </c>
      <c r="J458">
        <v>5</v>
      </c>
      <c r="K458" t="s">
        <v>81</v>
      </c>
      <c r="L458">
        <v>119</v>
      </c>
      <c r="M458">
        <v>67</v>
      </c>
      <c r="N458">
        <v>595</v>
      </c>
      <c r="O458">
        <v>335</v>
      </c>
      <c r="P458">
        <v>260</v>
      </c>
      <c r="Q458" s="18">
        <v>0.436974789915966</v>
      </c>
    </row>
    <row r="459" spans="1:17" x14ac:dyDescent="0.25">
      <c r="A459" s="17">
        <v>46160</v>
      </c>
      <c r="B459" t="s">
        <v>17</v>
      </c>
      <c r="C459" t="s">
        <v>17</v>
      </c>
      <c r="D459" t="s">
        <v>33</v>
      </c>
      <c r="E459" t="s">
        <v>39</v>
      </c>
      <c r="F459" t="s">
        <v>29</v>
      </c>
      <c r="G459" t="s">
        <v>10</v>
      </c>
      <c r="H459" t="s">
        <v>10</v>
      </c>
      <c r="I459" t="s">
        <v>50</v>
      </c>
      <c r="J459">
        <v>9</v>
      </c>
      <c r="K459" t="s">
        <v>81</v>
      </c>
      <c r="L459">
        <v>119</v>
      </c>
      <c r="M459">
        <v>67</v>
      </c>
      <c r="N459">
        <v>1071</v>
      </c>
      <c r="O459">
        <v>603</v>
      </c>
      <c r="P459">
        <v>468</v>
      </c>
      <c r="Q459" s="18">
        <v>0.436974789915966</v>
      </c>
    </row>
    <row r="460" spans="1:17" x14ac:dyDescent="0.25">
      <c r="A460" s="17">
        <v>46220</v>
      </c>
      <c r="B460" t="s">
        <v>38</v>
      </c>
      <c r="C460" t="s">
        <v>76</v>
      </c>
      <c r="D460" t="s">
        <v>33</v>
      </c>
      <c r="E460" t="s">
        <v>39</v>
      </c>
      <c r="F460" t="s">
        <v>9</v>
      </c>
      <c r="G460" t="s">
        <v>34</v>
      </c>
      <c r="H460" t="s">
        <v>10</v>
      </c>
      <c r="I460" t="s">
        <v>43</v>
      </c>
      <c r="J460">
        <v>1</v>
      </c>
      <c r="K460" t="s">
        <v>81</v>
      </c>
      <c r="L460">
        <v>89</v>
      </c>
      <c r="M460">
        <v>47</v>
      </c>
      <c r="N460">
        <v>89</v>
      </c>
      <c r="O460">
        <v>47</v>
      </c>
      <c r="P460">
        <v>42</v>
      </c>
      <c r="Q460" s="18">
        <v>0.47191011235955099</v>
      </c>
    </row>
    <row r="461" spans="1:17" x14ac:dyDescent="0.25">
      <c r="A461" s="17">
        <v>46094</v>
      </c>
      <c r="B461" t="s">
        <v>27</v>
      </c>
      <c r="C461" t="s">
        <v>71</v>
      </c>
      <c r="D461" t="s">
        <v>13</v>
      </c>
      <c r="E461" t="s">
        <v>13</v>
      </c>
      <c r="F461" t="s">
        <v>24</v>
      </c>
      <c r="G461" t="s">
        <v>10</v>
      </c>
      <c r="H461" t="s">
        <v>10</v>
      </c>
      <c r="I461" t="s">
        <v>54</v>
      </c>
      <c r="J461">
        <v>8</v>
      </c>
      <c r="K461" t="s">
        <v>80</v>
      </c>
      <c r="L461">
        <v>76</v>
      </c>
      <c r="M461">
        <v>39</v>
      </c>
      <c r="N461">
        <v>608</v>
      </c>
      <c r="O461">
        <v>312</v>
      </c>
      <c r="P461">
        <v>296</v>
      </c>
      <c r="Q461" s="18">
        <v>0.48684210526315802</v>
      </c>
    </row>
    <row r="462" spans="1:17" x14ac:dyDescent="0.25">
      <c r="A462" s="17">
        <v>46177</v>
      </c>
      <c r="B462" t="s">
        <v>32</v>
      </c>
      <c r="C462" t="s">
        <v>32</v>
      </c>
      <c r="D462" t="s">
        <v>18</v>
      </c>
      <c r="E462" t="s">
        <v>48</v>
      </c>
      <c r="F462" t="s">
        <v>29</v>
      </c>
      <c r="G462" t="s">
        <v>10</v>
      </c>
      <c r="H462" t="s">
        <v>10</v>
      </c>
      <c r="I462" t="s">
        <v>37</v>
      </c>
      <c r="J462">
        <v>8</v>
      </c>
      <c r="K462" t="s">
        <v>82</v>
      </c>
      <c r="L462">
        <v>105</v>
      </c>
      <c r="M462">
        <v>58</v>
      </c>
      <c r="N462">
        <v>840</v>
      </c>
      <c r="O462">
        <v>464</v>
      </c>
      <c r="P462">
        <v>376</v>
      </c>
      <c r="Q462" s="18">
        <v>0.44761904761904803</v>
      </c>
    </row>
    <row r="463" spans="1:17" x14ac:dyDescent="0.25">
      <c r="A463" s="17">
        <v>46231</v>
      </c>
      <c r="B463" t="s">
        <v>42</v>
      </c>
      <c r="C463" t="s">
        <v>42</v>
      </c>
      <c r="D463" t="s">
        <v>18</v>
      </c>
      <c r="E463" t="s">
        <v>48</v>
      </c>
      <c r="F463" t="s">
        <v>19</v>
      </c>
      <c r="G463" t="s">
        <v>34</v>
      </c>
      <c r="H463" t="s">
        <v>10</v>
      </c>
      <c r="I463" t="s">
        <v>46</v>
      </c>
      <c r="J463">
        <v>9</v>
      </c>
      <c r="K463" t="s">
        <v>80</v>
      </c>
      <c r="L463">
        <v>32</v>
      </c>
      <c r="M463">
        <v>14</v>
      </c>
      <c r="N463">
        <v>288</v>
      </c>
      <c r="O463">
        <v>126</v>
      </c>
      <c r="P463">
        <v>162</v>
      </c>
      <c r="Q463" s="18">
        <v>0.5625</v>
      </c>
    </row>
    <row r="464" spans="1:17" x14ac:dyDescent="0.25">
      <c r="A464" s="17">
        <v>46203</v>
      </c>
      <c r="B464" t="s">
        <v>75</v>
      </c>
      <c r="C464" t="s">
        <v>62</v>
      </c>
      <c r="D464" t="s">
        <v>23</v>
      </c>
      <c r="E464" t="s">
        <v>13</v>
      </c>
      <c r="F464" t="s">
        <v>9</v>
      </c>
      <c r="G464" t="s">
        <v>20</v>
      </c>
      <c r="H464" t="s">
        <v>69</v>
      </c>
      <c r="I464" t="s">
        <v>58</v>
      </c>
      <c r="J464">
        <v>10</v>
      </c>
      <c r="K464" t="s">
        <v>79</v>
      </c>
      <c r="L464">
        <v>112</v>
      </c>
      <c r="M464">
        <v>64</v>
      </c>
      <c r="N464">
        <v>1120</v>
      </c>
      <c r="O464">
        <v>640</v>
      </c>
      <c r="P464">
        <v>480</v>
      </c>
      <c r="Q464" s="18">
        <v>0.42857142857142899</v>
      </c>
    </row>
    <row r="465" spans="1:17" x14ac:dyDescent="0.25">
      <c r="A465" s="17">
        <v>46238</v>
      </c>
      <c r="B465" t="s">
        <v>44</v>
      </c>
      <c r="C465" t="s">
        <v>65</v>
      </c>
      <c r="D465" t="s">
        <v>18</v>
      </c>
      <c r="E465" t="s">
        <v>48</v>
      </c>
      <c r="F465" t="s">
        <v>29</v>
      </c>
      <c r="G465" t="s">
        <v>10</v>
      </c>
      <c r="H465" t="s">
        <v>10</v>
      </c>
      <c r="I465" t="s">
        <v>21</v>
      </c>
      <c r="J465">
        <v>6</v>
      </c>
      <c r="K465" t="s">
        <v>80</v>
      </c>
      <c r="L465">
        <v>128</v>
      </c>
      <c r="M465">
        <v>72</v>
      </c>
      <c r="N465">
        <v>768</v>
      </c>
      <c r="O465">
        <v>432</v>
      </c>
      <c r="P465">
        <v>336</v>
      </c>
      <c r="Q465" s="18">
        <v>0.4375</v>
      </c>
    </row>
    <row r="466" spans="1:17" x14ac:dyDescent="0.25">
      <c r="A466" s="17">
        <v>46177</v>
      </c>
      <c r="B466" t="s">
        <v>65</v>
      </c>
      <c r="C466" t="s">
        <v>65</v>
      </c>
      <c r="D466" t="s">
        <v>39</v>
      </c>
      <c r="E466" t="s">
        <v>39</v>
      </c>
      <c r="F466" t="s">
        <v>29</v>
      </c>
      <c r="G466" t="s">
        <v>20</v>
      </c>
      <c r="H466" t="s">
        <v>69</v>
      </c>
      <c r="I466" t="s">
        <v>21</v>
      </c>
      <c r="J466">
        <v>4</v>
      </c>
      <c r="K466" t="s">
        <v>81</v>
      </c>
      <c r="L466">
        <v>128</v>
      </c>
      <c r="M466">
        <v>72</v>
      </c>
      <c r="N466">
        <v>512</v>
      </c>
      <c r="O466">
        <v>288</v>
      </c>
      <c r="P466">
        <v>224</v>
      </c>
      <c r="Q466" s="18">
        <v>0.4375</v>
      </c>
    </row>
    <row r="467" spans="1:17" x14ac:dyDescent="0.25">
      <c r="A467" s="17">
        <v>46099</v>
      </c>
      <c r="B467" t="s">
        <v>38</v>
      </c>
      <c r="C467" t="s">
        <v>76</v>
      </c>
      <c r="D467" t="s">
        <v>39</v>
      </c>
      <c r="E467" t="s">
        <v>39</v>
      </c>
      <c r="F467" t="s">
        <v>9</v>
      </c>
      <c r="G467" t="s">
        <v>57</v>
      </c>
      <c r="H467" t="s">
        <v>57</v>
      </c>
      <c r="I467" t="s">
        <v>11</v>
      </c>
      <c r="J467">
        <v>4</v>
      </c>
      <c r="K467" t="s">
        <v>79</v>
      </c>
      <c r="L467">
        <v>89</v>
      </c>
      <c r="M467">
        <v>47</v>
      </c>
      <c r="N467">
        <v>356</v>
      </c>
      <c r="O467">
        <v>188</v>
      </c>
      <c r="P467">
        <v>168</v>
      </c>
      <c r="Q467" s="18">
        <v>0.47191011235955099</v>
      </c>
    </row>
    <row r="468" spans="1:17" x14ac:dyDescent="0.25">
      <c r="A468" s="17">
        <v>46035</v>
      </c>
      <c r="B468" t="s">
        <v>55</v>
      </c>
      <c r="C468" t="s">
        <v>71</v>
      </c>
      <c r="D468" t="s">
        <v>8</v>
      </c>
      <c r="E468" t="s">
        <v>39</v>
      </c>
      <c r="F468" t="s">
        <v>19</v>
      </c>
      <c r="G468" t="s">
        <v>66</v>
      </c>
      <c r="H468" t="s">
        <v>45</v>
      </c>
      <c r="I468" t="s">
        <v>31</v>
      </c>
      <c r="J468">
        <v>14</v>
      </c>
      <c r="K468" t="s">
        <v>79</v>
      </c>
      <c r="L468">
        <v>76</v>
      </c>
      <c r="M468">
        <v>39</v>
      </c>
      <c r="N468">
        <v>1064</v>
      </c>
      <c r="O468">
        <v>546</v>
      </c>
      <c r="P468">
        <v>518</v>
      </c>
      <c r="Q468" s="18">
        <v>0.48684210526315802</v>
      </c>
    </row>
    <row r="469" spans="1:17" x14ac:dyDescent="0.25">
      <c r="A469" s="17">
        <v>46175</v>
      </c>
      <c r="B469" t="s">
        <v>62</v>
      </c>
      <c r="C469" t="s">
        <v>62</v>
      </c>
      <c r="D469" t="s">
        <v>39</v>
      </c>
      <c r="E469" t="s">
        <v>39</v>
      </c>
      <c r="F469" t="s">
        <v>29</v>
      </c>
      <c r="G469" t="s">
        <v>66</v>
      </c>
      <c r="H469" t="s">
        <v>45</v>
      </c>
      <c r="I469" t="s">
        <v>31</v>
      </c>
      <c r="J469">
        <v>8</v>
      </c>
      <c r="K469" t="s">
        <v>80</v>
      </c>
      <c r="L469">
        <v>112</v>
      </c>
      <c r="M469">
        <v>64</v>
      </c>
      <c r="N469">
        <v>896</v>
      </c>
      <c r="O469">
        <v>512</v>
      </c>
      <c r="P469">
        <v>384</v>
      </c>
      <c r="Q469" s="18">
        <v>0.42857142857142899</v>
      </c>
    </row>
    <row r="470" spans="1:17" x14ac:dyDescent="0.25">
      <c r="A470" s="17">
        <v>46044</v>
      </c>
      <c r="B470" t="s">
        <v>27</v>
      </c>
      <c r="C470" t="s">
        <v>71</v>
      </c>
      <c r="D470" t="s">
        <v>8</v>
      </c>
      <c r="E470" t="s">
        <v>39</v>
      </c>
      <c r="F470" t="s">
        <v>9</v>
      </c>
      <c r="G470" t="s">
        <v>34</v>
      </c>
      <c r="H470" t="s">
        <v>10</v>
      </c>
      <c r="I470" t="s">
        <v>31</v>
      </c>
      <c r="J470">
        <v>3</v>
      </c>
      <c r="K470" t="s">
        <v>80</v>
      </c>
      <c r="L470">
        <v>76</v>
      </c>
      <c r="M470">
        <v>39</v>
      </c>
      <c r="N470">
        <v>228</v>
      </c>
      <c r="O470">
        <v>117</v>
      </c>
      <c r="P470">
        <v>111</v>
      </c>
      <c r="Q470" s="18">
        <v>0.48684210526315802</v>
      </c>
    </row>
    <row r="471" spans="1:17" x14ac:dyDescent="0.25">
      <c r="A471" s="17">
        <v>46142</v>
      </c>
      <c r="B471" t="s">
        <v>12</v>
      </c>
      <c r="C471" t="s">
        <v>65</v>
      </c>
      <c r="D471" t="s">
        <v>23</v>
      </c>
      <c r="E471" t="s">
        <v>13</v>
      </c>
      <c r="F471" t="s">
        <v>19</v>
      </c>
      <c r="G471" t="s">
        <v>34</v>
      </c>
      <c r="H471" t="s">
        <v>10</v>
      </c>
      <c r="I471" t="s">
        <v>46</v>
      </c>
      <c r="J471">
        <v>10</v>
      </c>
      <c r="K471" t="s">
        <v>79</v>
      </c>
      <c r="L471">
        <v>128</v>
      </c>
      <c r="M471">
        <v>72</v>
      </c>
      <c r="N471">
        <v>1280</v>
      </c>
      <c r="O471">
        <v>720</v>
      </c>
      <c r="P471">
        <v>560</v>
      </c>
      <c r="Q471" s="18">
        <v>0.4375</v>
      </c>
    </row>
    <row r="472" spans="1:17" x14ac:dyDescent="0.25">
      <c r="A472" s="17">
        <v>46090</v>
      </c>
      <c r="B472" t="s">
        <v>22</v>
      </c>
      <c r="C472" t="s">
        <v>51</v>
      </c>
      <c r="D472" t="s">
        <v>56</v>
      </c>
      <c r="E472" t="s">
        <v>28</v>
      </c>
      <c r="F472" t="s">
        <v>9</v>
      </c>
      <c r="G472" t="s">
        <v>60</v>
      </c>
      <c r="H472" t="s">
        <v>10</v>
      </c>
      <c r="I472" t="s">
        <v>21</v>
      </c>
      <c r="J472">
        <v>7</v>
      </c>
      <c r="K472" t="s">
        <v>80</v>
      </c>
      <c r="L472">
        <v>54</v>
      </c>
      <c r="M472">
        <v>28</v>
      </c>
      <c r="N472">
        <v>378</v>
      </c>
      <c r="O472">
        <v>196</v>
      </c>
      <c r="P472">
        <v>182</v>
      </c>
      <c r="Q472" s="18">
        <v>0.48148148148148101</v>
      </c>
    </row>
    <row r="473" spans="1:17" x14ac:dyDescent="0.25">
      <c r="A473" s="17">
        <v>46211</v>
      </c>
      <c r="B473" t="s">
        <v>17</v>
      </c>
      <c r="C473" t="s">
        <v>17</v>
      </c>
      <c r="D473" t="s">
        <v>39</v>
      </c>
      <c r="E473" t="s">
        <v>39</v>
      </c>
      <c r="F473" t="s">
        <v>9</v>
      </c>
      <c r="G473" t="s">
        <v>69</v>
      </c>
      <c r="H473" t="s">
        <v>69</v>
      </c>
      <c r="I473" t="s">
        <v>31</v>
      </c>
      <c r="J473">
        <v>6</v>
      </c>
      <c r="K473" t="s">
        <v>82</v>
      </c>
      <c r="L473">
        <v>119</v>
      </c>
      <c r="M473">
        <v>67</v>
      </c>
      <c r="N473">
        <v>714</v>
      </c>
      <c r="O473">
        <v>402</v>
      </c>
      <c r="P473">
        <v>312</v>
      </c>
      <c r="Q473" s="18">
        <v>0.436974789915966</v>
      </c>
    </row>
    <row r="474" spans="1:17" x14ac:dyDescent="0.25">
      <c r="A474" s="17">
        <v>46060</v>
      </c>
      <c r="B474" t="s">
        <v>42</v>
      </c>
      <c r="C474" t="s">
        <v>42</v>
      </c>
      <c r="D474" t="s">
        <v>8</v>
      </c>
      <c r="E474" t="s">
        <v>39</v>
      </c>
      <c r="F474" t="s">
        <v>9</v>
      </c>
      <c r="G474" t="s">
        <v>49</v>
      </c>
      <c r="H474" t="s">
        <v>69</v>
      </c>
      <c r="I474" t="s">
        <v>37</v>
      </c>
      <c r="J474">
        <v>13</v>
      </c>
      <c r="K474" t="s">
        <v>82</v>
      </c>
      <c r="L474">
        <v>32</v>
      </c>
      <c r="M474">
        <v>14</v>
      </c>
      <c r="N474">
        <v>416</v>
      </c>
      <c r="O474">
        <v>182</v>
      </c>
      <c r="P474">
        <v>234</v>
      </c>
      <c r="Q474" s="18">
        <v>0.5625</v>
      </c>
    </row>
    <row r="475" spans="1:17" x14ac:dyDescent="0.25">
      <c r="A475" s="17">
        <v>46048</v>
      </c>
      <c r="B475" t="s">
        <v>38</v>
      </c>
      <c r="C475" t="s">
        <v>76</v>
      </c>
      <c r="D475" t="s">
        <v>23</v>
      </c>
      <c r="E475" t="s">
        <v>13</v>
      </c>
      <c r="F475" t="s">
        <v>9</v>
      </c>
      <c r="G475" t="s">
        <v>10</v>
      </c>
      <c r="H475" t="s">
        <v>10</v>
      </c>
      <c r="I475" t="s">
        <v>11</v>
      </c>
      <c r="J475">
        <v>4</v>
      </c>
      <c r="K475" t="s">
        <v>79</v>
      </c>
      <c r="L475">
        <v>89</v>
      </c>
      <c r="M475">
        <v>47</v>
      </c>
      <c r="N475">
        <v>356</v>
      </c>
      <c r="O475">
        <v>188</v>
      </c>
      <c r="P475">
        <v>168</v>
      </c>
      <c r="Q475" s="18">
        <v>0.47191011235955099</v>
      </c>
    </row>
    <row r="476" spans="1:17" x14ac:dyDescent="0.25">
      <c r="A476" s="17">
        <v>46234</v>
      </c>
      <c r="B476" t="s">
        <v>17</v>
      </c>
      <c r="C476" t="s">
        <v>17</v>
      </c>
      <c r="D476" t="s">
        <v>39</v>
      </c>
      <c r="E476" t="s">
        <v>39</v>
      </c>
      <c r="F476" t="s">
        <v>14</v>
      </c>
      <c r="G476" t="s">
        <v>40</v>
      </c>
      <c r="H476" t="s">
        <v>25</v>
      </c>
      <c r="I476" t="s">
        <v>61</v>
      </c>
      <c r="J476">
        <v>3</v>
      </c>
      <c r="K476" t="s">
        <v>79</v>
      </c>
      <c r="L476">
        <v>119</v>
      </c>
      <c r="M476">
        <v>67</v>
      </c>
      <c r="N476">
        <v>357</v>
      </c>
      <c r="O476">
        <v>201</v>
      </c>
      <c r="P476">
        <v>156</v>
      </c>
      <c r="Q476" s="18">
        <v>0.436974789915966</v>
      </c>
    </row>
    <row r="477" spans="1:17" x14ac:dyDescent="0.25">
      <c r="A477" s="17">
        <v>46078</v>
      </c>
      <c r="B477" t="s">
        <v>65</v>
      </c>
      <c r="C477" t="s">
        <v>65</v>
      </c>
      <c r="D477" t="s">
        <v>23</v>
      </c>
      <c r="E477" t="s">
        <v>13</v>
      </c>
      <c r="F477" t="s">
        <v>14</v>
      </c>
      <c r="G477" t="s">
        <v>40</v>
      </c>
      <c r="H477" t="s">
        <v>25</v>
      </c>
      <c r="I477" t="s">
        <v>26</v>
      </c>
      <c r="J477">
        <v>13</v>
      </c>
      <c r="K477" t="s">
        <v>82</v>
      </c>
      <c r="L477">
        <v>128</v>
      </c>
      <c r="M477">
        <v>72</v>
      </c>
      <c r="N477">
        <v>1664</v>
      </c>
      <c r="O477">
        <v>936</v>
      </c>
      <c r="P477">
        <v>728</v>
      </c>
      <c r="Q477" s="18">
        <v>0.4375</v>
      </c>
    </row>
    <row r="478" spans="1:17" x14ac:dyDescent="0.25">
      <c r="A478" s="17">
        <v>46131</v>
      </c>
      <c r="B478" t="s">
        <v>55</v>
      </c>
      <c r="C478" t="s">
        <v>71</v>
      </c>
      <c r="D478" t="s">
        <v>52</v>
      </c>
      <c r="E478" t="s">
        <v>13</v>
      </c>
      <c r="F478" t="s">
        <v>14</v>
      </c>
      <c r="G478" t="s">
        <v>69</v>
      </c>
      <c r="H478" t="s">
        <v>69</v>
      </c>
      <c r="I478" t="s">
        <v>35</v>
      </c>
      <c r="J478">
        <v>9</v>
      </c>
      <c r="K478" t="s">
        <v>79</v>
      </c>
      <c r="L478">
        <v>76</v>
      </c>
      <c r="M478">
        <v>39</v>
      </c>
      <c r="N478">
        <v>684</v>
      </c>
      <c r="O478">
        <v>351</v>
      </c>
      <c r="P478">
        <v>333</v>
      </c>
      <c r="Q478" s="18">
        <v>0.48684210526315802</v>
      </c>
    </row>
    <row r="479" spans="1:17" x14ac:dyDescent="0.25">
      <c r="A479" s="17">
        <v>46167</v>
      </c>
      <c r="B479" t="s">
        <v>22</v>
      </c>
      <c r="C479" t="s">
        <v>51</v>
      </c>
      <c r="D479" t="s">
        <v>13</v>
      </c>
      <c r="E479" t="s">
        <v>13</v>
      </c>
      <c r="F479" t="s">
        <v>9</v>
      </c>
      <c r="G479" t="s">
        <v>15</v>
      </c>
      <c r="H479" t="s">
        <v>45</v>
      </c>
      <c r="I479" t="s">
        <v>37</v>
      </c>
      <c r="J479">
        <v>10</v>
      </c>
      <c r="K479" t="s">
        <v>79</v>
      </c>
      <c r="L479">
        <v>54</v>
      </c>
      <c r="M479">
        <v>28</v>
      </c>
      <c r="N479">
        <v>540</v>
      </c>
      <c r="O479">
        <v>280</v>
      </c>
      <c r="P479">
        <v>260</v>
      </c>
      <c r="Q479" s="18">
        <v>0.48148148148148101</v>
      </c>
    </row>
    <row r="480" spans="1:17" x14ac:dyDescent="0.25">
      <c r="A480" s="17">
        <v>46031</v>
      </c>
      <c r="B480" t="s">
        <v>17</v>
      </c>
      <c r="C480" t="s">
        <v>17</v>
      </c>
      <c r="D480" t="s">
        <v>23</v>
      </c>
      <c r="E480" t="s">
        <v>13</v>
      </c>
      <c r="F480" t="s">
        <v>29</v>
      </c>
      <c r="G480" t="s">
        <v>69</v>
      </c>
      <c r="H480" t="s">
        <v>69</v>
      </c>
      <c r="I480" t="s">
        <v>31</v>
      </c>
      <c r="J480">
        <v>6</v>
      </c>
      <c r="K480" t="s">
        <v>81</v>
      </c>
      <c r="L480">
        <v>119</v>
      </c>
      <c r="M480">
        <v>67</v>
      </c>
      <c r="N480">
        <v>714</v>
      </c>
      <c r="O480">
        <v>402</v>
      </c>
      <c r="P480">
        <v>312</v>
      </c>
      <c r="Q480" s="18">
        <v>0.436974789915966</v>
      </c>
    </row>
    <row r="481" spans="1:17" x14ac:dyDescent="0.25">
      <c r="A481" s="17">
        <v>46214</v>
      </c>
      <c r="B481" t="s">
        <v>42</v>
      </c>
      <c r="C481" t="s">
        <v>42</v>
      </c>
      <c r="D481" t="s">
        <v>13</v>
      </c>
      <c r="E481" t="s">
        <v>13</v>
      </c>
      <c r="F481" t="s">
        <v>9</v>
      </c>
      <c r="G481" t="s">
        <v>10</v>
      </c>
      <c r="H481" t="s">
        <v>10</v>
      </c>
      <c r="I481" t="s">
        <v>31</v>
      </c>
      <c r="J481">
        <v>15</v>
      </c>
      <c r="K481" t="s">
        <v>80</v>
      </c>
      <c r="L481">
        <v>32</v>
      </c>
      <c r="M481">
        <v>14</v>
      </c>
      <c r="N481">
        <v>480</v>
      </c>
      <c r="O481">
        <v>210</v>
      </c>
      <c r="P481">
        <v>270</v>
      </c>
      <c r="Q481" s="18">
        <v>0.5625</v>
      </c>
    </row>
    <row r="482" spans="1:17" x14ac:dyDescent="0.25">
      <c r="A482" s="17">
        <v>46219</v>
      </c>
      <c r="B482" t="s">
        <v>17</v>
      </c>
      <c r="C482" t="s">
        <v>17</v>
      </c>
      <c r="D482" t="s">
        <v>8</v>
      </c>
      <c r="E482" t="s">
        <v>39</v>
      </c>
      <c r="F482" t="s">
        <v>14</v>
      </c>
      <c r="G482" t="s">
        <v>60</v>
      </c>
      <c r="H482" t="s">
        <v>10</v>
      </c>
      <c r="I482" t="s">
        <v>54</v>
      </c>
      <c r="J482">
        <v>11</v>
      </c>
      <c r="K482" t="s">
        <v>80</v>
      </c>
      <c r="L482">
        <v>119</v>
      </c>
      <c r="M482">
        <v>67</v>
      </c>
      <c r="N482">
        <v>1309</v>
      </c>
      <c r="O482">
        <v>737</v>
      </c>
      <c r="P482">
        <v>572</v>
      </c>
      <c r="Q482" s="18">
        <v>0.436974789915966</v>
      </c>
    </row>
    <row r="483" spans="1:17" x14ac:dyDescent="0.25">
      <c r="A483" s="17">
        <v>46080</v>
      </c>
      <c r="B483" t="s">
        <v>38</v>
      </c>
      <c r="C483" t="s">
        <v>76</v>
      </c>
      <c r="D483" t="s">
        <v>52</v>
      </c>
      <c r="E483" t="s">
        <v>13</v>
      </c>
      <c r="F483" t="s">
        <v>14</v>
      </c>
      <c r="G483" t="s">
        <v>53</v>
      </c>
      <c r="H483" t="s">
        <v>25</v>
      </c>
      <c r="I483" t="s">
        <v>43</v>
      </c>
      <c r="J483">
        <v>9</v>
      </c>
      <c r="K483" t="s">
        <v>81</v>
      </c>
      <c r="L483">
        <v>89</v>
      </c>
      <c r="M483">
        <v>47</v>
      </c>
      <c r="N483">
        <v>801</v>
      </c>
      <c r="O483">
        <v>423</v>
      </c>
      <c r="P483">
        <v>378</v>
      </c>
      <c r="Q483" s="18">
        <v>0.47191011235955099</v>
      </c>
    </row>
    <row r="484" spans="1:17" x14ac:dyDescent="0.25">
      <c r="A484" s="17">
        <v>46173</v>
      </c>
      <c r="B484" t="s">
        <v>7</v>
      </c>
      <c r="C484" t="s">
        <v>42</v>
      </c>
      <c r="D484" t="s">
        <v>39</v>
      </c>
      <c r="E484" t="s">
        <v>39</v>
      </c>
      <c r="F484" t="s">
        <v>14</v>
      </c>
      <c r="G484" t="s">
        <v>53</v>
      </c>
      <c r="H484" t="s">
        <v>25</v>
      </c>
      <c r="I484" t="s">
        <v>58</v>
      </c>
      <c r="J484">
        <v>8</v>
      </c>
      <c r="K484" t="s">
        <v>82</v>
      </c>
      <c r="L484">
        <v>32</v>
      </c>
      <c r="M484">
        <v>14</v>
      </c>
      <c r="N484">
        <v>256</v>
      </c>
      <c r="O484">
        <v>112</v>
      </c>
      <c r="P484">
        <v>144</v>
      </c>
      <c r="Q484" s="18">
        <v>0.5625</v>
      </c>
    </row>
    <row r="485" spans="1:17" x14ac:dyDescent="0.25">
      <c r="A485" s="17">
        <v>46145</v>
      </c>
      <c r="B485" t="s">
        <v>55</v>
      </c>
      <c r="C485" t="s">
        <v>71</v>
      </c>
      <c r="D485" t="s">
        <v>8</v>
      </c>
      <c r="E485" t="s">
        <v>39</v>
      </c>
      <c r="F485" t="s">
        <v>19</v>
      </c>
      <c r="G485" t="s">
        <v>10</v>
      </c>
      <c r="H485" t="s">
        <v>10</v>
      </c>
      <c r="I485" t="s">
        <v>11</v>
      </c>
      <c r="J485">
        <v>13</v>
      </c>
      <c r="K485" t="s">
        <v>82</v>
      </c>
      <c r="L485">
        <v>76</v>
      </c>
      <c r="M485">
        <v>39</v>
      </c>
      <c r="N485">
        <v>988</v>
      </c>
      <c r="O485">
        <v>507</v>
      </c>
      <c r="P485">
        <v>481</v>
      </c>
      <c r="Q485" s="18">
        <v>0.48684210526315802</v>
      </c>
    </row>
    <row r="486" spans="1:17" x14ac:dyDescent="0.25">
      <c r="A486" s="17">
        <v>46215</v>
      </c>
      <c r="B486" t="s">
        <v>65</v>
      </c>
      <c r="C486" t="s">
        <v>65</v>
      </c>
      <c r="D486" t="s">
        <v>23</v>
      </c>
      <c r="E486" t="s">
        <v>13</v>
      </c>
      <c r="F486" t="s">
        <v>19</v>
      </c>
      <c r="G486" t="s">
        <v>53</v>
      </c>
      <c r="H486" t="s">
        <v>25</v>
      </c>
      <c r="I486" t="s">
        <v>46</v>
      </c>
      <c r="J486">
        <v>6</v>
      </c>
      <c r="K486" t="s">
        <v>81</v>
      </c>
      <c r="L486">
        <v>128</v>
      </c>
      <c r="M486">
        <v>72</v>
      </c>
      <c r="N486">
        <v>768</v>
      </c>
      <c r="O486">
        <v>432</v>
      </c>
      <c r="P486">
        <v>336</v>
      </c>
      <c r="Q486" s="18">
        <v>0.4375</v>
      </c>
    </row>
    <row r="487" spans="1:17" x14ac:dyDescent="0.25">
      <c r="A487" s="17">
        <v>46026</v>
      </c>
      <c r="B487" t="s">
        <v>59</v>
      </c>
      <c r="C487" t="s">
        <v>32</v>
      </c>
      <c r="D487" t="s">
        <v>13</v>
      </c>
      <c r="E487" t="s">
        <v>13</v>
      </c>
      <c r="F487" t="s">
        <v>14</v>
      </c>
      <c r="G487" t="s">
        <v>73</v>
      </c>
      <c r="H487" t="s">
        <v>57</v>
      </c>
      <c r="I487" t="s">
        <v>37</v>
      </c>
      <c r="J487">
        <v>3</v>
      </c>
      <c r="K487" t="s">
        <v>82</v>
      </c>
      <c r="L487">
        <v>105</v>
      </c>
      <c r="M487">
        <v>58</v>
      </c>
      <c r="N487">
        <v>315</v>
      </c>
      <c r="O487">
        <v>174</v>
      </c>
      <c r="P487">
        <v>141</v>
      </c>
      <c r="Q487" s="18">
        <v>0.44761904761904803</v>
      </c>
    </row>
    <row r="488" spans="1:17" x14ac:dyDescent="0.25">
      <c r="A488" s="17">
        <v>46078</v>
      </c>
      <c r="B488" t="s">
        <v>64</v>
      </c>
      <c r="C488" t="s">
        <v>42</v>
      </c>
      <c r="D488" t="s">
        <v>39</v>
      </c>
      <c r="E488" t="s">
        <v>39</v>
      </c>
      <c r="F488" t="s">
        <v>14</v>
      </c>
      <c r="G488" t="s">
        <v>10</v>
      </c>
      <c r="H488" t="s">
        <v>10</v>
      </c>
      <c r="I488" t="s">
        <v>41</v>
      </c>
      <c r="J488">
        <v>8</v>
      </c>
      <c r="K488" t="s">
        <v>79</v>
      </c>
      <c r="L488">
        <v>32</v>
      </c>
      <c r="M488">
        <v>14</v>
      </c>
      <c r="N488">
        <v>256</v>
      </c>
      <c r="O488">
        <v>112</v>
      </c>
      <c r="P488">
        <v>144</v>
      </c>
      <c r="Q488" s="18">
        <v>0.5625</v>
      </c>
    </row>
    <row r="489" spans="1:17" x14ac:dyDescent="0.25">
      <c r="A489" s="17">
        <v>46065</v>
      </c>
      <c r="B489" t="s">
        <v>76</v>
      </c>
      <c r="C489" t="s">
        <v>76</v>
      </c>
      <c r="D489" t="s">
        <v>33</v>
      </c>
      <c r="E489" t="s">
        <v>39</v>
      </c>
      <c r="F489" t="s">
        <v>9</v>
      </c>
      <c r="G489" t="s">
        <v>40</v>
      </c>
      <c r="H489" t="s">
        <v>25</v>
      </c>
      <c r="I489" t="s">
        <v>43</v>
      </c>
      <c r="J489">
        <v>15</v>
      </c>
      <c r="K489" t="s">
        <v>82</v>
      </c>
      <c r="L489">
        <v>89</v>
      </c>
      <c r="M489">
        <v>47</v>
      </c>
      <c r="N489">
        <v>1335</v>
      </c>
      <c r="O489">
        <v>705</v>
      </c>
      <c r="P489">
        <v>630</v>
      </c>
      <c r="Q489" s="18">
        <v>0.47191011235955099</v>
      </c>
    </row>
    <row r="490" spans="1:17" x14ac:dyDescent="0.25">
      <c r="A490" s="17">
        <v>46218</v>
      </c>
      <c r="B490" t="s">
        <v>63</v>
      </c>
      <c r="C490" t="s">
        <v>76</v>
      </c>
      <c r="D490" t="s">
        <v>8</v>
      </c>
      <c r="E490" t="s">
        <v>39</v>
      </c>
      <c r="F490" t="s">
        <v>19</v>
      </c>
      <c r="G490" t="s">
        <v>10</v>
      </c>
      <c r="H490" t="s">
        <v>10</v>
      </c>
      <c r="I490" t="s">
        <v>26</v>
      </c>
      <c r="J490">
        <v>2</v>
      </c>
      <c r="K490" t="s">
        <v>79</v>
      </c>
      <c r="L490">
        <v>89</v>
      </c>
      <c r="M490">
        <v>47</v>
      </c>
      <c r="N490">
        <v>178</v>
      </c>
      <c r="O490">
        <v>94</v>
      </c>
      <c r="P490">
        <v>84</v>
      </c>
      <c r="Q490" s="18">
        <v>0.47191011235955099</v>
      </c>
    </row>
    <row r="491" spans="1:17" x14ac:dyDescent="0.25">
      <c r="A491" s="17">
        <v>46137</v>
      </c>
      <c r="B491" t="s">
        <v>36</v>
      </c>
      <c r="C491" t="s">
        <v>62</v>
      </c>
      <c r="D491" t="s">
        <v>39</v>
      </c>
      <c r="E491" t="s">
        <v>39</v>
      </c>
      <c r="F491" t="s">
        <v>19</v>
      </c>
      <c r="G491" t="s">
        <v>60</v>
      </c>
      <c r="H491" t="s">
        <v>10</v>
      </c>
      <c r="I491" t="s">
        <v>41</v>
      </c>
      <c r="J491">
        <v>10</v>
      </c>
      <c r="K491" t="s">
        <v>82</v>
      </c>
      <c r="L491">
        <v>112</v>
      </c>
      <c r="M491">
        <v>64</v>
      </c>
      <c r="N491">
        <v>1120</v>
      </c>
      <c r="O491">
        <v>640</v>
      </c>
      <c r="P491">
        <v>480</v>
      </c>
      <c r="Q491" s="18">
        <v>0.42857142857142899</v>
      </c>
    </row>
    <row r="492" spans="1:17" x14ac:dyDescent="0.25">
      <c r="A492" s="17">
        <v>46045</v>
      </c>
      <c r="B492" t="s">
        <v>51</v>
      </c>
      <c r="C492" t="s">
        <v>51</v>
      </c>
      <c r="D492" t="s">
        <v>39</v>
      </c>
      <c r="E492" t="s">
        <v>39</v>
      </c>
      <c r="F492" t="s">
        <v>19</v>
      </c>
      <c r="G492" t="s">
        <v>20</v>
      </c>
      <c r="H492" t="s">
        <v>69</v>
      </c>
      <c r="I492" t="s">
        <v>37</v>
      </c>
      <c r="J492">
        <v>5</v>
      </c>
      <c r="K492" t="s">
        <v>79</v>
      </c>
      <c r="L492">
        <v>54</v>
      </c>
      <c r="M492">
        <v>28</v>
      </c>
      <c r="N492">
        <v>270</v>
      </c>
      <c r="O492">
        <v>140</v>
      </c>
      <c r="P492">
        <v>130</v>
      </c>
      <c r="Q492" s="18">
        <v>0.48148148148148101</v>
      </c>
    </row>
    <row r="493" spans="1:17" x14ac:dyDescent="0.25">
      <c r="A493" s="17">
        <v>46095</v>
      </c>
      <c r="B493" t="s">
        <v>64</v>
      </c>
      <c r="C493" t="s">
        <v>42</v>
      </c>
      <c r="D493" t="s">
        <v>39</v>
      </c>
      <c r="E493" t="s">
        <v>39</v>
      </c>
      <c r="F493" t="s">
        <v>14</v>
      </c>
      <c r="G493" t="s">
        <v>25</v>
      </c>
      <c r="H493" t="s">
        <v>25</v>
      </c>
      <c r="I493" t="s">
        <v>54</v>
      </c>
      <c r="J493">
        <v>15</v>
      </c>
      <c r="K493" t="s">
        <v>81</v>
      </c>
      <c r="L493">
        <v>32</v>
      </c>
      <c r="M493">
        <v>14</v>
      </c>
      <c r="N493">
        <v>480</v>
      </c>
      <c r="O493">
        <v>210</v>
      </c>
      <c r="P493">
        <v>270</v>
      </c>
      <c r="Q493" s="18">
        <v>0.5625</v>
      </c>
    </row>
    <row r="494" spans="1:17" x14ac:dyDescent="0.25">
      <c r="A494" s="17">
        <v>46064</v>
      </c>
      <c r="B494" t="s">
        <v>65</v>
      </c>
      <c r="C494" t="s">
        <v>65</v>
      </c>
      <c r="D494" t="s">
        <v>33</v>
      </c>
      <c r="E494" t="s">
        <v>39</v>
      </c>
      <c r="F494" t="s">
        <v>9</v>
      </c>
      <c r="G494" t="s">
        <v>15</v>
      </c>
      <c r="H494" t="s">
        <v>45</v>
      </c>
      <c r="I494" t="s">
        <v>61</v>
      </c>
      <c r="J494">
        <v>15</v>
      </c>
      <c r="K494" t="s">
        <v>81</v>
      </c>
      <c r="L494">
        <v>128</v>
      </c>
      <c r="M494">
        <v>72</v>
      </c>
      <c r="N494">
        <v>1920</v>
      </c>
      <c r="O494">
        <v>1080</v>
      </c>
      <c r="P494">
        <v>840</v>
      </c>
      <c r="Q494" s="18">
        <v>0.4375</v>
      </c>
    </row>
    <row r="495" spans="1:17" x14ac:dyDescent="0.25">
      <c r="A495" s="17">
        <v>46154</v>
      </c>
      <c r="B495" t="s">
        <v>27</v>
      </c>
      <c r="C495" t="s">
        <v>71</v>
      </c>
      <c r="D495" t="s">
        <v>48</v>
      </c>
      <c r="E495" t="s">
        <v>48</v>
      </c>
      <c r="F495" t="s">
        <v>19</v>
      </c>
      <c r="G495" t="s">
        <v>10</v>
      </c>
      <c r="H495" t="s">
        <v>10</v>
      </c>
      <c r="I495" t="s">
        <v>11</v>
      </c>
      <c r="J495">
        <v>10</v>
      </c>
      <c r="K495" t="s">
        <v>80</v>
      </c>
      <c r="L495">
        <v>76</v>
      </c>
      <c r="M495">
        <v>39</v>
      </c>
      <c r="N495">
        <v>760</v>
      </c>
      <c r="O495">
        <v>390</v>
      </c>
      <c r="P495">
        <v>370</v>
      </c>
      <c r="Q495" s="18">
        <v>0.48684210526315802</v>
      </c>
    </row>
    <row r="496" spans="1:17" x14ac:dyDescent="0.25">
      <c r="A496" s="17">
        <v>46079</v>
      </c>
      <c r="B496" t="s">
        <v>65</v>
      </c>
      <c r="C496" t="s">
        <v>65</v>
      </c>
      <c r="D496" t="s">
        <v>48</v>
      </c>
      <c r="E496" t="s">
        <v>48</v>
      </c>
      <c r="F496" t="s">
        <v>19</v>
      </c>
      <c r="G496" t="s">
        <v>34</v>
      </c>
      <c r="H496" t="s">
        <v>10</v>
      </c>
      <c r="I496" t="s">
        <v>54</v>
      </c>
      <c r="J496">
        <v>5</v>
      </c>
      <c r="K496" t="s">
        <v>79</v>
      </c>
      <c r="L496">
        <v>128</v>
      </c>
      <c r="M496">
        <v>72</v>
      </c>
      <c r="N496">
        <v>640</v>
      </c>
      <c r="O496">
        <v>360</v>
      </c>
      <c r="P496">
        <v>280</v>
      </c>
      <c r="Q496" s="18">
        <v>0.4375</v>
      </c>
    </row>
    <row r="497" spans="1:17" x14ac:dyDescent="0.25">
      <c r="A497" s="17">
        <v>46133</v>
      </c>
      <c r="B497" t="s">
        <v>42</v>
      </c>
      <c r="C497" t="s">
        <v>42</v>
      </c>
      <c r="D497" t="s">
        <v>68</v>
      </c>
      <c r="E497" t="s">
        <v>48</v>
      </c>
      <c r="F497" t="s">
        <v>14</v>
      </c>
      <c r="G497" t="s">
        <v>73</v>
      </c>
      <c r="H497" t="s">
        <v>57</v>
      </c>
      <c r="I497" t="s">
        <v>37</v>
      </c>
      <c r="J497">
        <v>5</v>
      </c>
      <c r="K497" t="s">
        <v>81</v>
      </c>
      <c r="L497">
        <v>32</v>
      </c>
      <c r="M497">
        <v>14</v>
      </c>
      <c r="N497">
        <v>160</v>
      </c>
      <c r="O497">
        <v>70</v>
      </c>
      <c r="P497">
        <v>90</v>
      </c>
      <c r="Q497" s="18">
        <v>0.5625</v>
      </c>
    </row>
    <row r="498" spans="1:17" x14ac:dyDescent="0.25">
      <c r="A498" s="17">
        <v>46198</v>
      </c>
      <c r="B498" t="s">
        <v>22</v>
      </c>
      <c r="C498" t="s">
        <v>51</v>
      </c>
      <c r="D498" t="s">
        <v>18</v>
      </c>
      <c r="E498" t="s">
        <v>48</v>
      </c>
      <c r="F498" t="s">
        <v>9</v>
      </c>
      <c r="G498" t="s">
        <v>25</v>
      </c>
      <c r="H498" t="s">
        <v>25</v>
      </c>
      <c r="I498" t="s">
        <v>16</v>
      </c>
      <c r="J498">
        <v>8</v>
      </c>
      <c r="K498" t="s">
        <v>79</v>
      </c>
      <c r="L498">
        <v>54</v>
      </c>
      <c r="M498">
        <v>28</v>
      </c>
      <c r="N498">
        <v>432</v>
      </c>
      <c r="O498">
        <v>224</v>
      </c>
      <c r="P498">
        <v>208</v>
      </c>
      <c r="Q498" s="18">
        <v>0.48148148148148101</v>
      </c>
    </row>
    <row r="499" spans="1:17" x14ac:dyDescent="0.25">
      <c r="A499" s="17">
        <v>46175</v>
      </c>
      <c r="B499" t="s">
        <v>74</v>
      </c>
      <c r="C499" t="s">
        <v>32</v>
      </c>
      <c r="D499" t="s">
        <v>8</v>
      </c>
      <c r="E499" t="s">
        <v>39</v>
      </c>
      <c r="F499" t="s">
        <v>29</v>
      </c>
      <c r="G499" t="s">
        <v>15</v>
      </c>
      <c r="H499" t="s">
        <v>45</v>
      </c>
      <c r="I499" t="s">
        <v>35</v>
      </c>
      <c r="J499">
        <v>3</v>
      </c>
      <c r="K499" t="s">
        <v>79</v>
      </c>
      <c r="L499">
        <v>105</v>
      </c>
      <c r="M499">
        <v>58</v>
      </c>
      <c r="N499">
        <v>315</v>
      </c>
      <c r="O499">
        <v>174</v>
      </c>
      <c r="P499">
        <v>141</v>
      </c>
      <c r="Q499" s="18">
        <v>0.44761904761904803</v>
      </c>
    </row>
    <row r="500" spans="1:17" x14ac:dyDescent="0.25">
      <c r="A500" s="17">
        <v>46184</v>
      </c>
      <c r="B500" t="s">
        <v>44</v>
      </c>
      <c r="C500" t="s">
        <v>65</v>
      </c>
      <c r="D500" t="s">
        <v>23</v>
      </c>
      <c r="E500" t="s">
        <v>13</v>
      </c>
      <c r="F500" t="s">
        <v>29</v>
      </c>
      <c r="G500" t="s">
        <v>34</v>
      </c>
      <c r="H500" t="s">
        <v>10</v>
      </c>
      <c r="I500" t="s">
        <v>11</v>
      </c>
      <c r="J500">
        <v>5</v>
      </c>
      <c r="K500" t="s">
        <v>82</v>
      </c>
      <c r="L500">
        <v>128</v>
      </c>
      <c r="M500">
        <v>72</v>
      </c>
      <c r="N500">
        <v>640</v>
      </c>
      <c r="O500">
        <v>360</v>
      </c>
      <c r="P500">
        <v>280</v>
      </c>
      <c r="Q500" s="18">
        <v>0.4375</v>
      </c>
    </row>
    <row r="501" spans="1:17" x14ac:dyDescent="0.25">
      <c r="A501" s="17">
        <v>46218</v>
      </c>
      <c r="B501" t="s">
        <v>42</v>
      </c>
      <c r="C501" t="s">
        <v>42</v>
      </c>
      <c r="D501" t="s">
        <v>52</v>
      </c>
      <c r="E501" t="s">
        <v>13</v>
      </c>
      <c r="F501" t="s">
        <v>19</v>
      </c>
      <c r="G501" t="s">
        <v>34</v>
      </c>
      <c r="H501" t="s">
        <v>10</v>
      </c>
      <c r="I501" t="s">
        <v>41</v>
      </c>
      <c r="J501">
        <v>4</v>
      </c>
      <c r="K501" t="s">
        <v>79</v>
      </c>
      <c r="L501">
        <v>32</v>
      </c>
      <c r="M501">
        <v>14</v>
      </c>
      <c r="N501">
        <v>128</v>
      </c>
      <c r="O501">
        <v>56</v>
      </c>
      <c r="P501">
        <v>72</v>
      </c>
      <c r="Q501" s="18">
        <v>0.5625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039B9-F997-41BD-8A1E-8EA0F155D32B}">
  <dimension ref="A1:BL23"/>
  <sheetViews>
    <sheetView showGridLines="0" topLeftCell="F1" zoomScale="80" zoomScaleNormal="80" workbookViewId="0">
      <selection activeCell="U21" sqref="U21"/>
    </sheetView>
  </sheetViews>
  <sheetFormatPr defaultRowHeight="15" x14ac:dyDescent="0.25"/>
  <cols>
    <col min="1" max="1" width="13.85546875" bestFit="1" customWidth="1"/>
    <col min="2" max="2" width="10" bestFit="1" customWidth="1"/>
    <col min="3" max="3" width="11.5703125" bestFit="1" customWidth="1"/>
    <col min="4" max="4" width="18" bestFit="1" customWidth="1"/>
    <col min="5" max="5" width="13.140625" bestFit="1" customWidth="1"/>
    <col min="7" max="7" width="2.28515625" customWidth="1"/>
    <col min="9" max="9" width="11.5703125" bestFit="1" customWidth="1"/>
    <col min="10" max="10" width="13.85546875" bestFit="1" customWidth="1"/>
    <col min="11" max="11" width="13.140625" bestFit="1" customWidth="1"/>
    <col min="12" max="12" width="3.140625" customWidth="1"/>
    <col min="14" max="14" width="13.140625" bestFit="1" customWidth="1"/>
    <col min="15" max="15" width="13.85546875" bestFit="1" customWidth="1"/>
    <col min="23" max="23" width="3.7109375" customWidth="1"/>
    <col min="24" max="24" width="12" bestFit="1" customWidth="1"/>
    <col min="25" max="25" width="13.85546875" bestFit="1" customWidth="1"/>
    <col min="31" max="31" width="3.140625" customWidth="1"/>
    <col min="32" max="32" width="15.140625" bestFit="1" customWidth="1"/>
    <col min="33" max="33" width="13.85546875" bestFit="1" customWidth="1"/>
    <col min="39" max="39" width="2" customWidth="1"/>
    <col min="40" max="40" width="12.42578125" bestFit="1" customWidth="1"/>
    <col min="41" max="41" width="11" bestFit="1" customWidth="1"/>
    <col min="42" max="42" width="13.85546875" bestFit="1" customWidth="1"/>
    <col min="49" max="49" width="3" customWidth="1"/>
    <col min="51" max="51" width="11.5703125" bestFit="1" customWidth="1"/>
    <col min="52" max="53" width="13.85546875" bestFit="1" customWidth="1"/>
    <col min="61" max="61" width="3.140625" customWidth="1"/>
    <col min="63" max="63" width="16.7109375" bestFit="1" customWidth="1"/>
    <col min="64" max="64" width="22.140625" bestFit="1" customWidth="1"/>
    <col min="65" max="65" width="22" bestFit="1" customWidth="1"/>
  </cols>
  <sheetData>
    <row r="1" spans="1:64" x14ac:dyDescent="0.25">
      <c r="G1" s="23"/>
      <c r="H1" s="28" t="s">
        <v>120</v>
      </c>
      <c r="I1" s="28"/>
      <c r="J1" s="24"/>
      <c r="L1" s="23"/>
      <c r="M1" s="28" t="s">
        <v>122</v>
      </c>
      <c r="N1" s="28"/>
      <c r="W1" s="24"/>
      <c r="X1" s="28" t="s">
        <v>120</v>
      </c>
      <c r="Y1" s="28"/>
      <c r="AE1" s="24"/>
      <c r="AF1" s="28" t="s">
        <v>121</v>
      </c>
      <c r="AG1" s="29"/>
      <c r="AM1" s="24"/>
      <c r="AN1" s="27" t="s">
        <v>123</v>
      </c>
      <c r="AO1" s="27"/>
      <c r="AP1" s="27"/>
      <c r="AW1" s="24"/>
      <c r="BI1" s="24"/>
    </row>
    <row r="2" spans="1:64" x14ac:dyDescent="0.25">
      <c r="A2" t="s">
        <v>105</v>
      </c>
      <c r="B2" t="s">
        <v>104</v>
      </c>
      <c r="C2" t="s">
        <v>118</v>
      </c>
      <c r="D2" t="s">
        <v>117</v>
      </c>
      <c r="E2" t="s">
        <v>107</v>
      </c>
      <c r="G2" s="23"/>
      <c r="I2" s="21" t="s">
        <v>119</v>
      </c>
      <c r="J2" t="s">
        <v>105</v>
      </c>
      <c r="L2" s="23"/>
      <c r="N2" s="21" t="s">
        <v>1</v>
      </c>
      <c r="O2" t="s">
        <v>105</v>
      </c>
      <c r="W2" s="24"/>
      <c r="X2" s="21" t="s">
        <v>2</v>
      </c>
      <c r="Y2" t="s">
        <v>105</v>
      </c>
      <c r="AE2" s="24"/>
      <c r="AF2" s="21" t="s">
        <v>4</v>
      </c>
      <c r="AG2" t="s">
        <v>105</v>
      </c>
      <c r="AM2" s="24"/>
      <c r="AN2" s="21" t="s">
        <v>5</v>
      </c>
      <c r="AO2" t="s">
        <v>106</v>
      </c>
      <c r="AP2" t="s">
        <v>105</v>
      </c>
      <c r="AW2" s="24"/>
      <c r="AY2" s="27" t="s">
        <v>123</v>
      </c>
      <c r="AZ2" s="27"/>
      <c r="BA2" s="27"/>
      <c r="BI2" s="24"/>
      <c r="BK2" s="28" t="s">
        <v>121</v>
      </c>
      <c r="BL2" s="29"/>
    </row>
    <row r="3" spans="1:64" x14ac:dyDescent="0.25">
      <c r="A3" s="20">
        <v>135952</v>
      </c>
      <c r="B3" s="20">
        <v>74027</v>
      </c>
      <c r="C3" s="20">
        <v>61925</v>
      </c>
      <c r="D3" s="18">
        <v>0.47175890469407639</v>
      </c>
      <c r="E3" s="19">
        <v>1504</v>
      </c>
      <c r="G3" s="23"/>
      <c r="I3" s="22" t="s">
        <v>109</v>
      </c>
      <c r="J3" s="20">
        <v>15969</v>
      </c>
      <c r="L3" s="23"/>
      <c r="N3" s="22" t="s">
        <v>71</v>
      </c>
      <c r="O3" s="20">
        <v>15352</v>
      </c>
      <c r="W3" s="24"/>
      <c r="X3" s="22" t="s">
        <v>13</v>
      </c>
      <c r="Y3" s="20">
        <v>82917</v>
      </c>
      <c r="AE3" s="24"/>
      <c r="AF3" s="22" t="s">
        <v>10</v>
      </c>
      <c r="AG3" s="20">
        <v>49122</v>
      </c>
      <c r="AM3" s="24"/>
      <c r="AN3" s="22" t="s">
        <v>43</v>
      </c>
      <c r="AO3" s="25">
        <v>2600</v>
      </c>
      <c r="AP3" s="25">
        <v>5699</v>
      </c>
      <c r="AW3" s="24"/>
      <c r="AY3" s="21" t="s">
        <v>5</v>
      </c>
      <c r="AZ3" t="s">
        <v>105</v>
      </c>
      <c r="BI3" s="24"/>
      <c r="BK3" s="21" t="s">
        <v>83</v>
      </c>
      <c r="BL3" t="s">
        <v>125</v>
      </c>
    </row>
    <row r="4" spans="1:64" x14ac:dyDescent="0.25">
      <c r="G4" s="23"/>
      <c r="I4" s="22" t="s">
        <v>110</v>
      </c>
      <c r="J4" s="20">
        <v>15129</v>
      </c>
      <c r="L4" s="23"/>
      <c r="N4" s="22" t="s">
        <v>62</v>
      </c>
      <c r="O4" s="20">
        <v>23968</v>
      </c>
      <c r="W4" s="24"/>
      <c r="X4" s="22" t="s">
        <v>48</v>
      </c>
      <c r="Y4" s="20">
        <v>53035</v>
      </c>
      <c r="AE4" s="24"/>
      <c r="AF4" s="22" t="s">
        <v>69</v>
      </c>
      <c r="AG4" s="20">
        <v>21242</v>
      </c>
      <c r="AM4" s="24"/>
      <c r="AN4" s="22" t="s">
        <v>50</v>
      </c>
      <c r="AO4" s="25">
        <v>2204</v>
      </c>
      <c r="AP4" s="25">
        <v>4942</v>
      </c>
      <c r="AW4" s="24"/>
      <c r="AY4" s="22" t="s">
        <v>21</v>
      </c>
      <c r="AZ4" s="25">
        <v>12161</v>
      </c>
      <c r="BI4" s="24"/>
      <c r="BK4" s="22" t="s">
        <v>79</v>
      </c>
      <c r="BL4">
        <v>48</v>
      </c>
    </row>
    <row r="5" spans="1:64" x14ac:dyDescent="0.25">
      <c r="G5" s="23"/>
      <c r="I5" s="22" t="s">
        <v>111</v>
      </c>
      <c r="J5" s="20">
        <v>19014</v>
      </c>
      <c r="L5" s="23"/>
      <c r="N5" s="22" t="s">
        <v>65</v>
      </c>
      <c r="O5" s="20">
        <v>28160</v>
      </c>
      <c r="W5" s="24"/>
      <c r="X5" s="22" t="s">
        <v>108</v>
      </c>
      <c r="Y5" s="20">
        <v>135952</v>
      </c>
      <c r="AE5" s="24"/>
      <c r="AF5" s="22" t="s">
        <v>45</v>
      </c>
      <c r="AG5" s="20">
        <v>14062</v>
      </c>
      <c r="AM5" s="24"/>
      <c r="AN5" s="22" t="s">
        <v>54</v>
      </c>
      <c r="AO5" s="25">
        <v>3426</v>
      </c>
      <c r="AP5" s="25">
        <v>7609</v>
      </c>
      <c r="AW5" s="24"/>
      <c r="AY5" s="22" t="s">
        <v>16</v>
      </c>
      <c r="AZ5" s="25">
        <v>13616</v>
      </c>
      <c r="BI5" s="24"/>
      <c r="BK5" s="22" t="s">
        <v>80</v>
      </c>
      <c r="BL5">
        <v>54</v>
      </c>
    </row>
    <row r="6" spans="1:64" x14ac:dyDescent="0.25">
      <c r="G6" s="23"/>
      <c r="I6" s="22" t="s">
        <v>112</v>
      </c>
      <c r="J6" s="20">
        <v>16132</v>
      </c>
      <c r="L6" s="23"/>
      <c r="N6" s="22" t="s">
        <v>42</v>
      </c>
      <c r="O6" s="20">
        <v>6528</v>
      </c>
      <c r="W6" s="24"/>
      <c r="AE6" s="24"/>
      <c r="AF6" s="22" t="s">
        <v>57</v>
      </c>
      <c r="AG6" s="20">
        <v>19559</v>
      </c>
      <c r="AM6" s="24"/>
      <c r="AN6" s="22" t="s">
        <v>46</v>
      </c>
      <c r="AO6" s="25">
        <v>3759</v>
      </c>
      <c r="AP6" s="25">
        <v>8230</v>
      </c>
      <c r="AW6" s="24"/>
      <c r="AY6" s="22" t="s">
        <v>26</v>
      </c>
      <c r="AZ6" s="25">
        <v>15657</v>
      </c>
      <c r="BI6" s="24"/>
      <c r="BK6" s="22" t="s">
        <v>81</v>
      </c>
      <c r="BL6">
        <v>51</v>
      </c>
    </row>
    <row r="7" spans="1:64" x14ac:dyDescent="0.25">
      <c r="G7" s="23"/>
      <c r="I7" s="22" t="s">
        <v>113</v>
      </c>
      <c r="J7" s="20">
        <v>15486</v>
      </c>
      <c r="L7" s="23"/>
      <c r="N7" s="22" t="s">
        <v>51</v>
      </c>
      <c r="O7" s="20">
        <v>7344</v>
      </c>
      <c r="W7" s="24"/>
      <c r="AE7" s="24"/>
      <c r="AF7" s="22" t="s">
        <v>25</v>
      </c>
      <c r="AG7" s="20">
        <v>31967</v>
      </c>
      <c r="AM7" s="24"/>
      <c r="AN7" s="22" t="s">
        <v>41</v>
      </c>
      <c r="AO7" s="25">
        <v>2330</v>
      </c>
      <c r="AP7" s="25">
        <v>5248</v>
      </c>
      <c r="AW7" s="24"/>
      <c r="AY7" s="22" t="s">
        <v>31</v>
      </c>
      <c r="AZ7" s="25">
        <v>12806</v>
      </c>
      <c r="BI7" s="24"/>
      <c r="BK7" s="22" t="s">
        <v>82</v>
      </c>
      <c r="BL7">
        <v>41</v>
      </c>
    </row>
    <row r="8" spans="1:64" x14ac:dyDescent="0.25">
      <c r="G8" s="23"/>
      <c r="I8" s="22" t="s">
        <v>114</v>
      </c>
      <c r="J8" s="20">
        <v>28993</v>
      </c>
      <c r="L8" s="23"/>
      <c r="N8" s="22" t="s">
        <v>76</v>
      </c>
      <c r="O8" s="20">
        <v>16821</v>
      </c>
      <c r="W8" s="24"/>
      <c r="AE8" s="24"/>
      <c r="AF8" s="22" t="s">
        <v>108</v>
      </c>
      <c r="AG8" s="20">
        <v>135952</v>
      </c>
      <c r="AM8" s="24"/>
      <c r="AN8" s="22" t="s">
        <v>21</v>
      </c>
      <c r="AO8" s="25">
        <v>5500</v>
      </c>
      <c r="AP8" s="25">
        <v>12161</v>
      </c>
      <c r="AW8" s="24"/>
      <c r="AY8" s="22" t="s">
        <v>61</v>
      </c>
      <c r="AZ8" s="25">
        <v>13452</v>
      </c>
      <c r="BI8" s="24"/>
      <c r="BK8" s="22" t="s">
        <v>108</v>
      </c>
      <c r="BL8">
        <v>194</v>
      </c>
    </row>
    <row r="9" spans="1:64" x14ac:dyDescent="0.25">
      <c r="G9" s="23"/>
      <c r="I9" s="22" t="s">
        <v>115</v>
      </c>
      <c r="J9" s="20">
        <v>17765</v>
      </c>
      <c r="L9" s="23"/>
      <c r="N9" s="22" t="s">
        <v>32</v>
      </c>
      <c r="O9" s="20">
        <v>19215</v>
      </c>
      <c r="W9" s="24"/>
      <c r="AE9" s="24"/>
      <c r="AM9" s="24"/>
      <c r="AN9" s="22" t="s">
        <v>37</v>
      </c>
      <c r="AO9" s="25">
        <v>5427</v>
      </c>
      <c r="AP9" s="25">
        <v>11802</v>
      </c>
      <c r="AW9" s="24"/>
      <c r="AY9" s="22" t="s">
        <v>108</v>
      </c>
      <c r="AZ9">
        <v>67692</v>
      </c>
      <c r="BI9" s="24"/>
    </row>
    <row r="10" spans="1:64" x14ac:dyDescent="0.25">
      <c r="G10" s="23"/>
      <c r="I10" s="22" t="s">
        <v>116</v>
      </c>
      <c r="J10" s="20">
        <v>7464</v>
      </c>
      <c r="L10" s="23"/>
      <c r="N10" s="22" t="s">
        <v>17</v>
      </c>
      <c r="O10" s="20">
        <v>18564</v>
      </c>
      <c r="W10" s="24"/>
      <c r="AE10" s="24"/>
      <c r="AM10" s="24"/>
      <c r="AN10" s="22" t="s">
        <v>35</v>
      </c>
      <c r="AO10" s="25">
        <v>2922</v>
      </c>
      <c r="AP10" s="25">
        <v>6370</v>
      </c>
      <c r="AW10" s="24"/>
      <c r="BI10" s="24"/>
    </row>
    <row r="11" spans="1:64" x14ac:dyDescent="0.25">
      <c r="G11" s="23"/>
      <c r="I11" s="22" t="s">
        <v>108</v>
      </c>
      <c r="J11" s="20">
        <v>135952</v>
      </c>
      <c r="L11" s="23"/>
      <c r="N11" s="22" t="s">
        <v>108</v>
      </c>
      <c r="O11" s="20">
        <v>135952</v>
      </c>
      <c r="W11" s="24"/>
      <c r="AE11" s="24"/>
      <c r="AM11" s="24"/>
      <c r="AN11" s="22" t="s">
        <v>11</v>
      </c>
      <c r="AO11" s="25">
        <v>3436</v>
      </c>
      <c r="AP11" s="25">
        <v>7345</v>
      </c>
      <c r="AW11" s="24"/>
      <c r="BI11" s="24"/>
    </row>
    <row r="12" spans="1:64" x14ac:dyDescent="0.25">
      <c r="G12" s="23"/>
      <c r="L12" s="23"/>
      <c r="W12" s="24"/>
      <c r="AE12" s="24"/>
      <c r="AM12" s="24"/>
      <c r="AN12" s="22" t="s">
        <v>58</v>
      </c>
      <c r="AO12" s="25">
        <v>4940</v>
      </c>
      <c r="AP12" s="25">
        <v>11015</v>
      </c>
      <c r="AW12" s="24"/>
      <c r="BI12" s="24"/>
    </row>
    <row r="13" spans="1:64" x14ac:dyDescent="0.25">
      <c r="G13" s="23"/>
      <c r="L13" s="23"/>
      <c r="W13" s="24"/>
      <c r="AE13" s="24"/>
      <c r="AM13" s="24"/>
      <c r="AN13" s="22" t="s">
        <v>16</v>
      </c>
      <c r="AO13" s="25">
        <v>6148</v>
      </c>
      <c r="AP13" s="25">
        <v>13616</v>
      </c>
      <c r="AW13" s="24"/>
      <c r="BI13" s="24"/>
    </row>
    <row r="14" spans="1:64" x14ac:dyDescent="0.25">
      <c r="G14" s="23"/>
      <c r="L14" s="23"/>
      <c r="W14" s="24"/>
      <c r="AE14" s="24"/>
      <c r="AM14" s="24"/>
      <c r="AN14" s="22" t="s">
        <v>26</v>
      </c>
      <c r="AO14" s="25">
        <v>7261</v>
      </c>
      <c r="AP14" s="25">
        <v>15657</v>
      </c>
      <c r="AW14" s="24"/>
      <c r="BI14" s="24"/>
    </row>
    <row r="15" spans="1:64" x14ac:dyDescent="0.25">
      <c r="G15" s="23"/>
      <c r="L15" s="23"/>
      <c r="W15" s="24"/>
      <c r="AE15" s="24"/>
      <c r="AM15" s="24"/>
      <c r="AN15" s="22" t="s">
        <v>31</v>
      </c>
      <c r="AO15" s="25">
        <v>5831</v>
      </c>
      <c r="AP15" s="25">
        <v>12806</v>
      </c>
      <c r="AW15" s="24"/>
      <c r="BI15" s="24"/>
    </row>
    <row r="16" spans="1:64" x14ac:dyDescent="0.25">
      <c r="G16" s="23"/>
      <c r="L16" s="23"/>
      <c r="W16" s="24"/>
      <c r="AE16" s="24"/>
      <c r="AM16" s="24"/>
      <c r="AN16" s="22" t="s">
        <v>61</v>
      </c>
      <c r="AO16" s="25">
        <v>6141</v>
      </c>
      <c r="AP16" s="25">
        <v>13452</v>
      </c>
      <c r="AW16" s="24"/>
      <c r="BI16" s="24"/>
    </row>
    <row r="17" spans="7:44" x14ac:dyDescent="0.25">
      <c r="G17" s="23"/>
      <c r="L17" s="23"/>
      <c r="W17" s="24"/>
      <c r="AE17" s="24"/>
      <c r="AM17" s="24"/>
      <c r="AN17" s="22" t="s">
        <v>108</v>
      </c>
      <c r="AO17">
        <v>61925</v>
      </c>
      <c r="AP17">
        <v>135952</v>
      </c>
    </row>
    <row r="18" spans="7:44" x14ac:dyDescent="0.25">
      <c r="G18" s="23"/>
      <c r="L18" s="23"/>
      <c r="W18" s="24"/>
      <c r="AE18" s="24"/>
      <c r="AM18" s="24"/>
    </row>
    <row r="19" spans="7:44" x14ac:dyDescent="0.25">
      <c r="G19" s="23"/>
      <c r="L19" s="23"/>
      <c r="W19" s="24"/>
      <c r="AE19" s="24"/>
      <c r="AM19" s="24"/>
    </row>
    <row r="20" spans="7:44" x14ac:dyDescent="0.25">
      <c r="G20" s="23"/>
      <c r="W20" s="24"/>
      <c r="AE20" s="24"/>
      <c r="AM20" s="24"/>
      <c r="AR20" s="12" t="s">
        <v>124</v>
      </c>
    </row>
    <row r="21" spans="7:44" x14ac:dyDescent="0.25">
      <c r="W21" s="24"/>
      <c r="AE21" s="24"/>
      <c r="AM21" s="24"/>
    </row>
    <row r="22" spans="7:44" x14ac:dyDescent="0.25">
      <c r="W22" s="24"/>
    </row>
    <row r="23" spans="7:44" x14ac:dyDescent="0.25">
      <c r="W23" s="24"/>
    </row>
  </sheetData>
  <mergeCells count="7">
    <mergeCell ref="AN1:AP1"/>
    <mergeCell ref="AY2:BA2"/>
    <mergeCell ref="BK2:BL2"/>
    <mergeCell ref="X1:Y1"/>
    <mergeCell ref="H1:I1"/>
    <mergeCell ref="AF1:AG1"/>
    <mergeCell ref="M1:N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33DB7-F543-46C9-870C-AA262A90E341}">
  <dimension ref="A1:N23"/>
  <sheetViews>
    <sheetView showGridLines="0" tabSelected="1" zoomScale="70" zoomScaleNormal="70" workbookViewId="0">
      <selection activeCell="U9" sqref="U9"/>
    </sheetView>
  </sheetViews>
  <sheetFormatPr defaultRowHeight="15" x14ac:dyDescent="0.25"/>
  <cols>
    <col min="11" max="11" width="0.28515625" customWidth="1"/>
  </cols>
  <sheetData>
    <row r="1" spans="1:14" x14ac:dyDescent="0.25">
      <c r="A1" s="26"/>
      <c r="B1" s="26"/>
      <c r="C1" s="26"/>
      <c r="D1" s="26"/>
      <c r="E1" s="26"/>
      <c r="F1" s="26"/>
      <c r="G1" s="26"/>
      <c r="H1" s="26"/>
      <c r="I1" s="26"/>
      <c r="J1" s="26"/>
      <c r="K1" s="26"/>
      <c r="L1" s="26"/>
      <c r="M1" s="26"/>
      <c r="N1" s="26"/>
    </row>
    <row r="2" spans="1:14" x14ac:dyDescent="0.25">
      <c r="A2" s="26"/>
      <c r="B2" s="26"/>
      <c r="C2" s="26"/>
      <c r="D2" s="26"/>
      <c r="E2" s="26"/>
      <c r="F2" s="26"/>
      <c r="G2" s="26"/>
      <c r="H2" s="26"/>
      <c r="I2" s="26"/>
      <c r="J2" s="26"/>
      <c r="K2" s="26"/>
      <c r="L2" s="26"/>
      <c r="M2" s="26"/>
      <c r="N2" s="26"/>
    </row>
    <row r="3" spans="1:14" x14ac:dyDescent="0.25">
      <c r="A3" s="26"/>
      <c r="B3" s="26"/>
      <c r="C3" s="26"/>
      <c r="D3" s="26"/>
      <c r="E3" s="26"/>
      <c r="F3" s="26"/>
      <c r="G3" s="26"/>
      <c r="H3" s="26"/>
      <c r="I3" s="26"/>
      <c r="J3" s="26"/>
      <c r="K3" s="26"/>
      <c r="L3" s="26"/>
      <c r="M3" s="26"/>
      <c r="N3" s="26"/>
    </row>
    <row r="4" spans="1:14" x14ac:dyDescent="0.25">
      <c r="A4" s="26"/>
      <c r="B4" s="26"/>
      <c r="C4" s="26"/>
      <c r="D4" s="26"/>
      <c r="E4" s="26"/>
      <c r="F4" s="26"/>
      <c r="G4" s="26"/>
      <c r="H4" s="26"/>
      <c r="I4" s="26"/>
      <c r="J4" s="26"/>
      <c r="K4" s="26"/>
      <c r="L4" s="26"/>
      <c r="M4" s="26"/>
      <c r="N4" s="26"/>
    </row>
    <row r="5" spans="1:14" x14ac:dyDescent="0.25">
      <c r="A5" s="26"/>
      <c r="B5" s="26"/>
      <c r="C5" s="26"/>
      <c r="D5" s="26"/>
      <c r="E5" s="26"/>
      <c r="F5" s="26"/>
      <c r="G5" s="26"/>
      <c r="H5" s="26"/>
      <c r="I5" s="26"/>
      <c r="J5" s="26"/>
      <c r="K5" s="26"/>
      <c r="L5" s="26"/>
      <c r="M5" s="26"/>
      <c r="N5" s="26"/>
    </row>
    <row r="6" spans="1:14" x14ac:dyDescent="0.25">
      <c r="A6" s="26"/>
      <c r="B6" s="26"/>
      <c r="C6" s="26"/>
      <c r="D6" s="26"/>
      <c r="E6" s="26"/>
      <c r="F6" s="26"/>
      <c r="G6" s="26"/>
      <c r="H6" s="26"/>
      <c r="I6" s="26"/>
      <c r="J6" s="26"/>
      <c r="K6" s="26"/>
      <c r="L6" s="26"/>
      <c r="M6" s="26"/>
      <c r="N6" s="26"/>
    </row>
    <row r="7" spans="1:14" x14ac:dyDescent="0.25">
      <c r="A7" s="26"/>
      <c r="B7" s="26"/>
      <c r="C7" s="26"/>
      <c r="D7" s="26"/>
      <c r="E7" s="26"/>
      <c r="F7" s="26"/>
      <c r="G7" s="26"/>
      <c r="H7" s="26"/>
      <c r="I7" s="26"/>
      <c r="J7" s="26"/>
      <c r="K7" s="26"/>
      <c r="L7" s="26"/>
      <c r="M7" s="26"/>
      <c r="N7" s="26"/>
    </row>
    <row r="8" spans="1:14" x14ac:dyDescent="0.25">
      <c r="A8" s="26"/>
      <c r="B8" s="26"/>
      <c r="C8" s="26"/>
      <c r="D8" s="26"/>
      <c r="E8" s="26"/>
      <c r="F8" s="26"/>
      <c r="G8" s="26"/>
      <c r="H8" s="26"/>
      <c r="I8" s="26"/>
      <c r="J8" s="26"/>
      <c r="K8" s="26"/>
      <c r="L8" s="26"/>
      <c r="M8" s="26"/>
      <c r="N8" s="26"/>
    </row>
    <row r="9" spans="1:14" x14ac:dyDescent="0.25">
      <c r="A9" s="26"/>
      <c r="B9" s="26"/>
      <c r="C9" s="26"/>
      <c r="D9" s="26"/>
      <c r="E9" s="26"/>
      <c r="F9" s="26"/>
      <c r="G9" s="26"/>
      <c r="H9" s="26"/>
      <c r="I9" s="26"/>
      <c r="J9" s="26"/>
      <c r="K9" s="26"/>
      <c r="L9" s="26"/>
      <c r="M9" s="26"/>
      <c r="N9" s="26"/>
    </row>
    <row r="10" spans="1:14" x14ac:dyDescent="0.25">
      <c r="A10" s="26"/>
      <c r="B10" s="26"/>
      <c r="C10" s="26"/>
      <c r="D10" s="26"/>
      <c r="E10" s="26"/>
      <c r="F10" s="26"/>
      <c r="G10" s="26"/>
      <c r="H10" s="26"/>
      <c r="I10" s="26"/>
      <c r="J10" s="26"/>
      <c r="K10" s="26"/>
      <c r="L10" s="26"/>
      <c r="M10" s="26"/>
      <c r="N10" s="26"/>
    </row>
    <row r="11" spans="1:14" x14ac:dyDescent="0.25">
      <c r="A11" s="26"/>
      <c r="B11" s="26"/>
      <c r="C11" s="26"/>
      <c r="D11" s="26"/>
      <c r="E11" s="26"/>
      <c r="F11" s="26"/>
      <c r="G11" s="26"/>
      <c r="H11" s="26"/>
      <c r="I11" s="26"/>
      <c r="J11" s="26"/>
      <c r="K11" s="26"/>
      <c r="L11" s="26"/>
      <c r="M11" s="26"/>
      <c r="N11" s="26"/>
    </row>
    <row r="12" spans="1:14" x14ac:dyDescent="0.25">
      <c r="A12" s="26"/>
      <c r="B12" s="26"/>
      <c r="C12" s="26"/>
      <c r="D12" s="26"/>
      <c r="E12" s="26"/>
      <c r="F12" s="26"/>
      <c r="G12" s="26"/>
      <c r="H12" s="26"/>
      <c r="I12" s="26"/>
      <c r="J12" s="26"/>
      <c r="K12" s="26"/>
      <c r="L12" s="26"/>
      <c r="M12" s="26"/>
      <c r="N12" s="26"/>
    </row>
    <row r="13" spans="1:14" x14ac:dyDescent="0.25">
      <c r="A13" s="26"/>
      <c r="B13" s="26"/>
      <c r="C13" s="26"/>
      <c r="D13" s="26"/>
      <c r="E13" s="26"/>
      <c r="F13" s="26"/>
      <c r="G13" s="26"/>
      <c r="H13" s="26"/>
      <c r="I13" s="26"/>
      <c r="J13" s="26"/>
      <c r="K13" s="26"/>
      <c r="L13" s="26"/>
      <c r="M13" s="26"/>
      <c r="N13" s="26"/>
    </row>
    <row r="14" spans="1:14" x14ac:dyDescent="0.25">
      <c r="A14" s="26"/>
      <c r="B14" s="26"/>
      <c r="C14" s="26"/>
      <c r="D14" s="26"/>
      <c r="E14" s="26"/>
      <c r="F14" s="26"/>
      <c r="G14" s="26"/>
      <c r="H14" s="26"/>
      <c r="I14" s="26"/>
      <c r="J14" s="26"/>
      <c r="K14" s="26"/>
      <c r="L14" s="26"/>
      <c r="M14" s="26"/>
      <c r="N14" s="26"/>
    </row>
    <row r="15" spans="1:14" x14ac:dyDescent="0.25">
      <c r="A15" s="26"/>
      <c r="B15" s="26"/>
      <c r="C15" s="26"/>
      <c r="D15" s="26"/>
      <c r="E15" s="26"/>
      <c r="F15" s="26"/>
      <c r="G15" s="26"/>
      <c r="H15" s="26"/>
      <c r="I15" s="26"/>
      <c r="J15" s="26"/>
      <c r="K15" s="26"/>
      <c r="L15" s="26"/>
      <c r="M15" s="26"/>
      <c r="N15" s="26"/>
    </row>
    <row r="16" spans="1:14" x14ac:dyDescent="0.25">
      <c r="A16" s="26"/>
      <c r="B16" s="26"/>
      <c r="C16" s="26"/>
      <c r="D16" s="26"/>
      <c r="E16" s="26"/>
      <c r="F16" s="26"/>
      <c r="G16" s="26"/>
      <c r="H16" s="26"/>
      <c r="I16" s="26"/>
      <c r="J16" s="26"/>
      <c r="K16" s="26"/>
      <c r="L16" s="26"/>
      <c r="M16" s="26"/>
      <c r="N16" s="26"/>
    </row>
    <row r="17" spans="1:14" x14ac:dyDescent="0.25">
      <c r="A17" s="26"/>
      <c r="B17" s="26"/>
      <c r="C17" s="26"/>
      <c r="D17" s="26"/>
      <c r="E17" s="26"/>
      <c r="F17" s="26"/>
      <c r="G17" s="26"/>
      <c r="H17" s="26"/>
      <c r="I17" s="26"/>
      <c r="J17" s="26"/>
      <c r="K17" s="26"/>
      <c r="L17" s="26"/>
      <c r="M17" s="26"/>
      <c r="N17" s="26"/>
    </row>
    <row r="18" spans="1:14" x14ac:dyDescent="0.25">
      <c r="A18" s="26"/>
      <c r="B18" s="26"/>
      <c r="C18" s="26"/>
      <c r="D18" s="26"/>
      <c r="E18" s="26"/>
      <c r="F18" s="26"/>
      <c r="G18" s="26"/>
      <c r="H18" s="26"/>
      <c r="I18" s="26"/>
      <c r="J18" s="26"/>
      <c r="K18" s="26"/>
      <c r="L18" s="26"/>
      <c r="M18" s="26"/>
      <c r="N18" s="26"/>
    </row>
    <row r="19" spans="1:14" x14ac:dyDescent="0.25">
      <c r="A19" s="26"/>
      <c r="B19" s="26"/>
      <c r="C19" s="26"/>
      <c r="D19" s="26"/>
      <c r="E19" s="26"/>
      <c r="F19" s="26"/>
      <c r="G19" s="26"/>
      <c r="H19" s="26"/>
      <c r="I19" s="26"/>
      <c r="J19" s="26"/>
      <c r="K19" s="26"/>
      <c r="L19" s="26"/>
      <c r="M19" s="26"/>
      <c r="N19" s="26"/>
    </row>
    <row r="20" spans="1:14" x14ac:dyDescent="0.25">
      <c r="A20" s="26"/>
      <c r="B20" s="26"/>
      <c r="C20" s="26"/>
      <c r="D20" s="26"/>
      <c r="E20" s="26"/>
      <c r="F20" s="26"/>
      <c r="G20" s="26"/>
      <c r="H20" s="26"/>
      <c r="I20" s="26"/>
      <c r="J20" s="26"/>
      <c r="K20" s="26"/>
      <c r="L20" s="26"/>
      <c r="M20" s="26"/>
      <c r="N20" s="26"/>
    </row>
    <row r="21" spans="1:14" x14ac:dyDescent="0.25">
      <c r="A21" s="26"/>
      <c r="B21" s="26"/>
      <c r="C21" s="26"/>
      <c r="D21" s="26"/>
      <c r="E21" s="26"/>
      <c r="F21" s="26"/>
      <c r="G21" s="26" t="s">
        <v>126</v>
      </c>
      <c r="H21" s="26"/>
      <c r="I21" s="26"/>
      <c r="J21" s="26"/>
      <c r="K21" s="26"/>
      <c r="L21" s="26"/>
      <c r="M21" s="26"/>
      <c r="N21" s="26"/>
    </row>
    <row r="22" spans="1:14" x14ac:dyDescent="0.25">
      <c r="A22" s="26"/>
      <c r="B22" s="26"/>
      <c r="C22" s="26"/>
      <c r="D22" s="26"/>
      <c r="E22" s="26"/>
      <c r="F22" s="26"/>
      <c r="G22" s="26"/>
      <c r="H22" s="26"/>
      <c r="I22" s="26"/>
      <c r="J22" s="26"/>
      <c r="K22" s="26"/>
      <c r="L22" s="26"/>
      <c r="M22" s="26"/>
      <c r="N22" s="26"/>
    </row>
    <row r="23" spans="1:14" x14ac:dyDescent="0.25">
      <c r="A23" s="26"/>
      <c r="B23" s="26"/>
      <c r="C23" s="26"/>
      <c r="D23" s="26"/>
      <c r="E23" s="26"/>
      <c r="F23" s="26"/>
      <c r="G23" s="26"/>
      <c r="H23" s="26"/>
      <c r="I23" s="26"/>
      <c r="J23" s="26"/>
      <c r="K23" s="26"/>
      <c r="L23" s="26"/>
      <c r="M23" s="26"/>
      <c r="N23"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A1:Q501"/>
  <sheetViews>
    <sheetView zoomScale="80" zoomScaleNormal="80" workbookViewId="0">
      <selection activeCell="E21" sqref="E21"/>
    </sheetView>
  </sheetViews>
  <sheetFormatPr defaultRowHeight="15" x14ac:dyDescent="0.25"/>
  <cols>
    <col min="1" max="1" width="12" customWidth="1"/>
    <col min="2" max="2" width="16" customWidth="1"/>
    <col min="3" max="3" width="17.7109375" customWidth="1"/>
    <col min="4" max="4" width="14" customWidth="1"/>
    <col min="5" max="5" width="18.42578125" customWidth="1"/>
    <col min="6" max="6" width="12" customWidth="1"/>
    <col min="7" max="8" width="18" customWidth="1"/>
    <col min="9" max="9" width="14" customWidth="1"/>
    <col min="10" max="10" width="13" customWidth="1"/>
    <col min="11" max="11" width="15.7109375" customWidth="1"/>
    <col min="12" max="12" width="16.42578125" bestFit="1" customWidth="1"/>
    <col min="13" max="13" width="14.28515625" bestFit="1" customWidth="1"/>
    <col min="17" max="17" width="17.28515625" style="16" bestFit="1" customWidth="1"/>
  </cols>
  <sheetData>
    <row r="1" spans="1:17" ht="17.649999999999999" customHeight="1" x14ac:dyDescent="0.25">
      <c r="A1" s="11" t="s">
        <v>0</v>
      </c>
      <c r="B1" s="11" t="s">
        <v>1</v>
      </c>
      <c r="C1" s="11" t="s">
        <v>87</v>
      </c>
      <c r="D1" s="11" t="s">
        <v>2</v>
      </c>
      <c r="E1" s="11" t="s">
        <v>97</v>
      </c>
      <c r="F1" s="11" t="s">
        <v>3</v>
      </c>
      <c r="G1" s="11" t="s">
        <v>4</v>
      </c>
      <c r="H1" s="11" t="s">
        <v>98</v>
      </c>
      <c r="I1" s="11" t="s">
        <v>5</v>
      </c>
      <c r="J1" s="11" t="s">
        <v>6</v>
      </c>
      <c r="K1" s="11" t="s">
        <v>83</v>
      </c>
      <c r="L1" s="13" t="s">
        <v>99</v>
      </c>
      <c r="M1" s="13" t="s">
        <v>100</v>
      </c>
      <c r="N1" s="13" t="s">
        <v>101</v>
      </c>
      <c r="O1" s="13" t="s">
        <v>78</v>
      </c>
      <c r="P1" s="13" t="s">
        <v>102</v>
      </c>
      <c r="Q1" s="14" t="s">
        <v>103</v>
      </c>
    </row>
    <row r="2" spans="1:17" x14ac:dyDescent="0.25">
      <c r="A2" s="8">
        <v>46161</v>
      </c>
      <c r="B2" s="2" t="s">
        <v>63</v>
      </c>
      <c r="C2" s="2" t="str">
        <f t="shared" ref="C2:C65" si="0">TRIM(PROPER(B2))</f>
        <v>Monk Straps</v>
      </c>
      <c r="D2" s="2" t="s">
        <v>39</v>
      </c>
      <c r="E2" s="2" t="str">
        <f>PROPER(D2)</f>
        <v>Formal</v>
      </c>
      <c r="F2" s="2" t="s">
        <v>19</v>
      </c>
      <c r="G2" s="2" t="s">
        <v>69</v>
      </c>
      <c r="H2" s="2" t="str">
        <f>PROPER(Shoe_Sales[[#This Row],[Brand]])</f>
        <v>Nike</v>
      </c>
      <c r="I2" s="2" t="s">
        <v>16</v>
      </c>
      <c r="J2" s="3">
        <v>7</v>
      </c>
      <c r="K2" s="2" t="s">
        <v>79</v>
      </c>
      <c r="L2" s="12">
        <f>VLOOKUP(Shoe_Sales[[#This Row],[Product Cleaned]],Price!$A$2:$C$9,2,FALSE)</f>
        <v>89</v>
      </c>
      <c r="M2" s="12">
        <f>VLOOKUP(Shoe_Sales[[#This Row],[Product Cleaned]],Price!$A$2:$C$9,3,0)</f>
        <v>47</v>
      </c>
      <c r="N2" s="12">
        <f>(Shoe_Sales[[#This Row],[Quantity]]*Shoe_Sales[[#This Row],[Selling Price]])</f>
        <v>623</v>
      </c>
      <c r="O2" s="12">
        <f>(Shoe_Sales[[#This Row],[Quantity]]*Shoe_Sales[[#This Row],[Cost Price]])</f>
        <v>329</v>
      </c>
      <c r="P2" s="12">
        <f>(Shoe_Sales[[#This Row],[Revenue]]-Shoe_Sales[[#This Row],[Cost]])</f>
        <v>294</v>
      </c>
      <c r="Q2" s="15">
        <f>(Shoe_Sales[[#This Row],[Profit]]/Shoe_Sales[[#This Row],[Revenue]])</f>
        <v>0.47191011235955055</v>
      </c>
    </row>
    <row r="3" spans="1:17" x14ac:dyDescent="0.25">
      <c r="A3" s="9">
        <v>46199</v>
      </c>
      <c r="B3" s="4" t="s">
        <v>22</v>
      </c>
      <c r="C3" s="2" t="str">
        <f t="shared" si="0"/>
        <v>Loafers</v>
      </c>
      <c r="D3" s="4" t="s">
        <v>39</v>
      </c>
      <c r="E3" s="2" t="str">
        <f t="shared" ref="E3:E66" si="1">PROPER(D3)</f>
        <v>Formal</v>
      </c>
      <c r="F3" s="4" t="s">
        <v>9</v>
      </c>
      <c r="G3" s="4" t="s">
        <v>49</v>
      </c>
      <c r="H3" s="4" t="str">
        <f>PROPER(Shoe_Sales[[#This Row],[Brand]])</f>
        <v>Nike</v>
      </c>
      <c r="I3" s="4" t="s">
        <v>16</v>
      </c>
      <c r="J3" s="5">
        <v>1</v>
      </c>
      <c r="K3" s="4" t="s">
        <v>80</v>
      </c>
      <c r="L3" s="12">
        <f>VLOOKUP(Shoe_Sales[[#This Row],[Product Cleaned]],Price!$A$2:$C$9,2,FALSE)</f>
        <v>54</v>
      </c>
      <c r="M3" s="12">
        <f>VLOOKUP(Shoe_Sales[[#This Row],[Product Cleaned]],Price!$A$2:$C$9,3,0)</f>
        <v>28</v>
      </c>
      <c r="N3" s="12">
        <f>(Shoe_Sales[[#This Row],[Quantity]]*Shoe_Sales[[#This Row],[Selling Price]])</f>
        <v>54</v>
      </c>
      <c r="O3" s="12">
        <f>(Shoe_Sales[[#This Row],[Quantity]]*Shoe_Sales[[#This Row],[Cost Price]])</f>
        <v>28</v>
      </c>
      <c r="P3" s="12">
        <f>(Shoe_Sales[[#This Row],[Revenue]]-Shoe_Sales[[#This Row],[Cost]])</f>
        <v>26</v>
      </c>
      <c r="Q3" s="15">
        <f>(Shoe_Sales[[#This Row],[Profit]]/Shoe_Sales[[#This Row],[Revenue]])</f>
        <v>0.48148148148148145</v>
      </c>
    </row>
    <row r="4" spans="1:17" x14ac:dyDescent="0.25">
      <c r="A4" s="8">
        <v>46172</v>
      </c>
      <c r="B4" s="2" t="s">
        <v>42</v>
      </c>
      <c r="C4" s="2" t="str">
        <f t="shared" si="0"/>
        <v>Derby</v>
      </c>
      <c r="D4" s="2" t="s">
        <v>8</v>
      </c>
      <c r="E4" s="2" t="str">
        <f t="shared" si="1"/>
        <v>Formal</v>
      </c>
      <c r="F4" s="2" t="s">
        <v>29</v>
      </c>
      <c r="G4" s="2" t="s">
        <v>60</v>
      </c>
      <c r="H4" s="2" t="str">
        <f>PROPER(Shoe_Sales[[#This Row],[Brand]])</f>
        <v>Clarks</v>
      </c>
      <c r="I4" s="2" t="s">
        <v>11</v>
      </c>
      <c r="J4" s="3">
        <v>7</v>
      </c>
      <c r="K4" s="2" t="s">
        <v>79</v>
      </c>
      <c r="L4" s="12">
        <f>VLOOKUP(Shoe_Sales[[#This Row],[Product Cleaned]],Price!$A$2:$C$9,2,FALSE)</f>
        <v>32</v>
      </c>
      <c r="M4" s="12">
        <f>VLOOKUP(Shoe_Sales[[#This Row],[Product Cleaned]],Price!$A$2:$C$9,3,0)</f>
        <v>14</v>
      </c>
      <c r="N4" s="12">
        <f>(Shoe_Sales[[#This Row],[Quantity]]*Shoe_Sales[[#This Row],[Selling Price]])</f>
        <v>224</v>
      </c>
      <c r="O4" s="12">
        <f>(Shoe_Sales[[#This Row],[Quantity]]*Shoe_Sales[[#This Row],[Cost Price]])</f>
        <v>98</v>
      </c>
      <c r="P4" s="12">
        <f>(Shoe_Sales[[#This Row],[Revenue]]-Shoe_Sales[[#This Row],[Cost]])</f>
        <v>126</v>
      </c>
      <c r="Q4" s="15">
        <f>(Shoe_Sales[[#This Row],[Profit]]/Shoe_Sales[[#This Row],[Revenue]])</f>
        <v>0.5625</v>
      </c>
    </row>
    <row r="5" spans="1:17" x14ac:dyDescent="0.25">
      <c r="A5" s="9">
        <v>46214</v>
      </c>
      <c r="B5" s="4" t="s">
        <v>55</v>
      </c>
      <c r="C5" s="2" t="str">
        <f t="shared" si="0"/>
        <v>Boots</v>
      </c>
      <c r="D5" s="4" t="s">
        <v>56</v>
      </c>
      <c r="E5" s="2" t="str">
        <f t="shared" si="1"/>
        <v>Utility</v>
      </c>
      <c r="F5" s="4" t="s">
        <v>9</v>
      </c>
      <c r="G5" s="4" t="s">
        <v>49</v>
      </c>
      <c r="H5" s="4" t="str">
        <f>PROPER(Shoe_Sales[[#This Row],[Brand]])</f>
        <v>Nike</v>
      </c>
      <c r="I5" s="4" t="s">
        <v>54</v>
      </c>
      <c r="J5" s="5">
        <v>6</v>
      </c>
      <c r="K5" s="4" t="s">
        <v>79</v>
      </c>
      <c r="L5" s="12">
        <f>VLOOKUP(Shoe_Sales[[#This Row],[Product Cleaned]],Price!$A$2:$C$9,2,FALSE)</f>
        <v>76</v>
      </c>
      <c r="M5" s="12">
        <f>VLOOKUP(Shoe_Sales[[#This Row],[Product Cleaned]],Price!$A$2:$C$9,3,0)</f>
        <v>39</v>
      </c>
      <c r="N5" s="12">
        <f>(Shoe_Sales[[#This Row],[Quantity]]*Shoe_Sales[[#This Row],[Selling Price]])</f>
        <v>456</v>
      </c>
      <c r="O5" s="12">
        <f>(Shoe_Sales[[#This Row],[Quantity]]*Shoe_Sales[[#This Row],[Cost Price]])</f>
        <v>234</v>
      </c>
      <c r="P5" s="12">
        <f>(Shoe_Sales[[#This Row],[Revenue]]-Shoe_Sales[[#This Row],[Cost]])</f>
        <v>222</v>
      </c>
      <c r="Q5" s="15">
        <f>(Shoe_Sales[[#This Row],[Profit]]/Shoe_Sales[[#This Row],[Revenue]])</f>
        <v>0.48684210526315791</v>
      </c>
    </row>
    <row r="6" spans="1:17" x14ac:dyDescent="0.25">
      <c r="A6" s="8">
        <v>46130</v>
      </c>
      <c r="B6" s="2" t="s">
        <v>27</v>
      </c>
      <c r="C6" s="2" t="str">
        <f t="shared" si="0"/>
        <v>Boots</v>
      </c>
      <c r="D6" s="2" t="s">
        <v>52</v>
      </c>
      <c r="E6" s="2" t="str">
        <f t="shared" si="1"/>
        <v>Casual</v>
      </c>
      <c r="F6" s="2" t="s">
        <v>19</v>
      </c>
      <c r="G6" s="2" t="s">
        <v>34</v>
      </c>
      <c r="H6" s="2" t="str">
        <f>PROPER(Shoe_Sales[[#This Row],[Brand]])</f>
        <v>Clarks</v>
      </c>
      <c r="I6" s="2" t="s">
        <v>26</v>
      </c>
      <c r="J6" s="3">
        <v>6</v>
      </c>
      <c r="K6" s="2" t="s">
        <v>79</v>
      </c>
      <c r="L6" s="12">
        <f>VLOOKUP(Shoe_Sales[[#This Row],[Product Cleaned]],Price!$A$2:$C$9,2,FALSE)</f>
        <v>76</v>
      </c>
      <c r="M6" s="12">
        <f>VLOOKUP(Shoe_Sales[[#This Row],[Product Cleaned]],Price!$A$2:$C$9,3,0)</f>
        <v>39</v>
      </c>
      <c r="N6" s="12">
        <f>(Shoe_Sales[[#This Row],[Quantity]]*Shoe_Sales[[#This Row],[Selling Price]])</f>
        <v>456</v>
      </c>
      <c r="O6" s="12">
        <f>(Shoe_Sales[[#This Row],[Quantity]]*Shoe_Sales[[#This Row],[Cost Price]])</f>
        <v>234</v>
      </c>
      <c r="P6" s="12">
        <f>(Shoe_Sales[[#This Row],[Revenue]]-Shoe_Sales[[#This Row],[Cost]])</f>
        <v>222</v>
      </c>
      <c r="Q6" s="15">
        <f>(Shoe_Sales[[#This Row],[Profit]]/Shoe_Sales[[#This Row],[Revenue]])</f>
        <v>0.48684210526315791</v>
      </c>
    </row>
    <row r="7" spans="1:17" x14ac:dyDescent="0.25">
      <c r="A7" s="9">
        <v>46093</v>
      </c>
      <c r="B7" s="4" t="s">
        <v>65</v>
      </c>
      <c r="C7" s="2" t="str">
        <f t="shared" si="0"/>
        <v>Canvas</v>
      </c>
      <c r="D7" s="4" t="s">
        <v>28</v>
      </c>
      <c r="E7" s="2" t="str">
        <f t="shared" si="1"/>
        <v>Utility</v>
      </c>
      <c r="F7" s="4" t="s">
        <v>24</v>
      </c>
      <c r="G7" s="4" t="s">
        <v>20</v>
      </c>
      <c r="H7" s="4" t="str">
        <f>PROPER(Shoe_Sales[[#This Row],[Brand]])</f>
        <v>Nike</v>
      </c>
      <c r="I7" s="4" t="s">
        <v>21</v>
      </c>
      <c r="J7" s="5">
        <v>6</v>
      </c>
      <c r="K7" s="4" t="s">
        <v>80</v>
      </c>
      <c r="L7" s="12">
        <f>VLOOKUP(Shoe_Sales[[#This Row],[Product Cleaned]],Price!$A$2:$C$9,2,FALSE)</f>
        <v>128</v>
      </c>
      <c r="M7" s="12">
        <f>VLOOKUP(Shoe_Sales[[#This Row],[Product Cleaned]],Price!$A$2:$C$9,3,0)</f>
        <v>72</v>
      </c>
      <c r="N7" s="12">
        <f>(Shoe_Sales[[#This Row],[Quantity]]*Shoe_Sales[[#This Row],[Selling Price]])</f>
        <v>768</v>
      </c>
      <c r="O7" s="12">
        <f>(Shoe_Sales[[#This Row],[Quantity]]*Shoe_Sales[[#This Row],[Cost Price]])</f>
        <v>432</v>
      </c>
      <c r="P7" s="12">
        <f>(Shoe_Sales[[#This Row],[Revenue]]-Shoe_Sales[[#This Row],[Cost]])</f>
        <v>336</v>
      </c>
      <c r="Q7" s="15">
        <f>(Shoe_Sales[[#This Row],[Profit]]/Shoe_Sales[[#This Row],[Revenue]])</f>
        <v>0.4375</v>
      </c>
    </row>
    <row r="8" spans="1:17" x14ac:dyDescent="0.25">
      <c r="A8" s="8">
        <v>46191</v>
      </c>
      <c r="B8" s="2" t="s">
        <v>44</v>
      </c>
      <c r="C8" s="2" t="str">
        <f t="shared" si="0"/>
        <v>Canvas</v>
      </c>
      <c r="D8" s="2" t="s">
        <v>39</v>
      </c>
      <c r="E8" s="2" t="str">
        <f t="shared" si="1"/>
        <v>Formal</v>
      </c>
      <c r="F8" s="2" t="s">
        <v>29</v>
      </c>
      <c r="G8" s="2" t="s">
        <v>60</v>
      </c>
      <c r="H8" s="2" t="str">
        <f>PROPER(Shoe_Sales[[#This Row],[Brand]])</f>
        <v>Clarks</v>
      </c>
      <c r="I8" s="2" t="s">
        <v>31</v>
      </c>
      <c r="J8" s="3">
        <v>13</v>
      </c>
      <c r="K8" s="2" t="s">
        <v>81</v>
      </c>
      <c r="L8" s="12">
        <f>VLOOKUP(Shoe_Sales[[#This Row],[Product Cleaned]],Price!$A$2:$C$9,2,FALSE)</f>
        <v>128</v>
      </c>
      <c r="M8" s="12">
        <f>VLOOKUP(Shoe_Sales[[#This Row],[Product Cleaned]],Price!$A$2:$C$9,3,0)</f>
        <v>72</v>
      </c>
      <c r="N8" s="12">
        <f>(Shoe_Sales[[#This Row],[Quantity]]*Shoe_Sales[[#This Row],[Selling Price]])</f>
        <v>1664</v>
      </c>
      <c r="O8" s="12">
        <f>(Shoe_Sales[[#This Row],[Quantity]]*Shoe_Sales[[#This Row],[Cost Price]])</f>
        <v>936</v>
      </c>
      <c r="P8" s="12">
        <f>(Shoe_Sales[[#This Row],[Revenue]]-Shoe_Sales[[#This Row],[Cost]])</f>
        <v>728</v>
      </c>
      <c r="Q8" s="15">
        <f>(Shoe_Sales[[#This Row],[Profit]]/Shoe_Sales[[#This Row],[Revenue]])</f>
        <v>0.4375</v>
      </c>
    </row>
    <row r="9" spans="1:17" x14ac:dyDescent="0.25">
      <c r="A9" s="9">
        <v>46212</v>
      </c>
      <c r="B9" s="4" t="s">
        <v>84</v>
      </c>
      <c r="C9" s="2" t="str">
        <f t="shared" si="0"/>
        <v>Monk Straps</v>
      </c>
      <c r="D9" s="4" t="s">
        <v>39</v>
      </c>
      <c r="E9" s="2" t="str">
        <f t="shared" si="1"/>
        <v>Formal</v>
      </c>
      <c r="F9" s="4" t="s">
        <v>14</v>
      </c>
      <c r="G9" s="4" t="s">
        <v>30</v>
      </c>
      <c r="H9" s="4" t="str">
        <f>PROPER(Shoe_Sales[[#This Row],[Brand]])</f>
        <v>Timberland</v>
      </c>
      <c r="I9" s="4" t="s">
        <v>31</v>
      </c>
      <c r="J9" s="5">
        <v>12</v>
      </c>
      <c r="K9" s="4" t="s">
        <v>81</v>
      </c>
      <c r="L9" s="12">
        <f>VLOOKUP(Shoe_Sales[[#This Row],[Product Cleaned]],Price!$A$2:$C$9,2,FALSE)</f>
        <v>89</v>
      </c>
      <c r="M9" s="12">
        <f>VLOOKUP(Shoe_Sales[[#This Row],[Product Cleaned]],Price!$A$2:$C$9,3,0)</f>
        <v>47</v>
      </c>
      <c r="N9" s="12">
        <f>(Shoe_Sales[[#This Row],[Quantity]]*Shoe_Sales[[#This Row],[Selling Price]])</f>
        <v>1068</v>
      </c>
      <c r="O9" s="12">
        <f>(Shoe_Sales[[#This Row],[Quantity]]*Shoe_Sales[[#This Row],[Cost Price]])</f>
        <v>564</v>
      </c>
      <c r="P9" s="12">
        <f>(Shoe_Sales[[#This Row],[Revenue]]-Shoe_Sales[[#This Row],[Cost]])</f>
        <v>504</v>
      </c>
      <c r="Q9" s="15">
        <f>(Shoe_Sales[[#This Row],[Profit]]/Shoe_Sales[[#This Row],[Revenue]])</f>
        <v>0.47191011235955055</v>
      </c>
    </row>
    <row r="10" spans="1:17" x14ac:dyDescent="0.25">
      <c r="A10" s="8">
        <v>46038</v>
      </c>
      <c r="B10" s="2" t="s">
        <v>42</v>
      </c>
      <c r="C10" s="2" t="str">
        <f t="shared" si="0"/>
        <v>Derby</v>
      </c>
      <c r="D10" s="2" t="s">
        <v>33</v>
      </c>
      <c r="E10" s="2" t="str">
        <f t="shared" si="1"/>
        <v>Formal</v>
      </c>
      <c r="F10" s="2" t="s">
        <v>29</v>
      </c>
      <c r="G10" s="2" t="s">
        <v>60</v>
      </c>
      <c r="H10" s="2" t="str">
        <f>PROPER(Shoe_Sales[[#This Row],[Brand]])</f>
        <v>Clarks</v>
      </c>
      <c r="I10" s="2" t="s">
        <v>50</v>
      </c>
      <c r="J10" s="3">
        <v>10</v>
      </c>
      <c r="K10" s="2" t="s">
        <v>81</v>
      </c>
      <c r="L10" s="12">
        <f>VLOOKUP(Shoe_Sales[[#This Row],[Product Cleaned]],Price!$A$2:$C$9,2,FALSE)</f>
        <v>32</v>
      </c>
      <c r="M10" s="12">
        <f>VLOOKUP(Shoe_Sales[[#This Row],[Product Cleaned]],Price!$A$2:$C$9,3,0)</f>
        <v>14</v>
      </c>
      <c r="N10" s="12">
        <f>(Shoe_Sales[[#This Row],[Quantity]]*Shoe_Sales[[#This Row],[Selling Price]])</f>
        <v>320</v>
      </c>
      <c r="O10" s="12">
        <f>(Shoe_Sales[[#This Row],[Quantity]]*Shoe_Sales[[#This Row],[Cost Price]])</f>
        <v>140</v>
      </c>
      <c r="P10" s="12">
        <f>(Shoe_Sales[[#This Row],[Revenue]]-Shoe_Sales[[#This Row],[Cost]])</f>
        <v>180</v>
      </c>
      <c r="Q10" s="15">
        <f>(Shoe_Sales[[#This Row],[Profit]]/Shoe_Sales[[#This Row],[Revenue]])</f>
        <v>0.5625</v>
      </c>
    </row>
    <row r="11" spans="1:17" x14ac:dyDescent="0.25">
      <c r="A11" s="9">
        <v>46182</v>
      </c>
      <c r="B11" s="4" t="s">
        <v>59</v>
      </c>
      <c r="C11" s="2" t="str">
        <f t="shared" si="0"/>
        <v>Oxford</v>
      </c>
      <c r="D11" s="4" t="s">
        <v>39</v>
      </c>
      <c r="E11" s="2" t="str">
        <f t="shared" si="1"/>
        <v>Formal</v>
      </c>
      <c r="F11" s="4" t="s">
        <v>9</v>
      </c>
      <c r="G11" s="4" t="s">
        <v>60</v>
      </c>
      <c r="H11" s="4" t="str">
        <f>PROPER(Shoe_Sales[[#This Row],[Brand]])</f>
        <v>Clarks</v>
      </c>
      <c r="I11" s="4" t="s">
        <v>46</v>
      </c>
      <c r="J11" s="5">
        <v>15</v>
      </c>
      <c r="K11" s="4" t="s">
        <v>82</v>
      </c>
      <c r="L11" s="12">
        <f>VLOOKUP(Shoe_Sales[[#This Row],[Product Cleaned]],Price!$A$2:$C$9,2,FALSE)</f>
        <v>105</v>
      </c>
      <c r="M11" s="12">
        <f>VLOOKUP(Shoe_Sales[[#This Row],[Product Cleaned]],Price!$A$2:$C$9,3,0)</f>
        <v>58</v>
      </c>
      <c r="N11" s="12">
        <f>(Shoe_Sales[[#This Row],[Quantity]]*Shoe_Sales[[#This Row],[Selling Price]])</f>
        <v>1575</v>
      </c>
      <c r="O11" s="12">
        <f>(Shoe_Sales[[#This Row],[Quantity]]*Shoe_Sales[[#This Row],[Cost Price]])</f>
        <v>870</v>
      </c>
      <c r="P11" s="12">
        <f>(Shoe_Sales[[#This Row],[Revenue]]-Shoe_Sales[[#This Row],[Cost]])</f>
        <v>705</v>
      </c>
      <c r="Q11" s="15">
        <f>(Shoe_Sales[[#This Row],[Profit]]/Shoe_Sales[[#This Row],[Revenue]])</f>
        <v>0.44761904761904764</v>
      </c>
    </row>
    <row r="12" spans="1:17" x14ac:dyDescent="0.25">
      <c r="A12" s="8">
        <v>46132</v>
      </c>
      <c r="B12" s="2" t="s">
        <v>27</v>
      </c>
      <c r="C12" s="2" t="str">
        <f t="shared" si="0"/>
        <v>Boots</v>
      </c>
      <c r="D12" s="2" t="s">
        <v>39</v>
      </c>
      <c r="E12" s="2" t="str">
        <f t="shared" si="1"/>
        <v>Formal</v>
      </c>
      <c r="F12" s="2" t="s">
        <v>14</v>
      </c>
      <c r="G12" s="2" t="s">
        <v>10</v>
      </c>
      <c r="H12" s="2" t="str">
        <f>PROPER(Shoe_Sales[[#This Row],[Brand]])</f>
        <v>Clarks</v>
      </c>
      <c r="I12" s="2" t="s">
        <v>37</v>
      </c>
      <c r="J12" s="3">
        <v>8</v>
      </c>
      <c r="K12" s="2" t="s">
        <v>79</v>
      </c>
      <c r="L12" s="12">
        <f>VLOOKUP(Shoe_Sales[[#This Row],[Product Cleaned]],Price!$A$2:$C$9,2,FALSE)</f>
        <v>76</v>
      </c>
      <c r="M12" s="12">
        <f>VLOOKUP(Shoe_Sales[[#This Row],[Product Cleaned]],Price!$A$2:$C$9,3,0)</f>
        <v>39</v>
      </c>
      <c r="N12" s="12">
        <f>(Shoe_Sales[[#This Row],[Quantity]]*Shoe_Sales[[#This Row],[Selling Price]])</f>
        <v>608</v>
      </c>
      <c r="O12" s="12">
        <f>(Shoe_Sales[[#This Row],[Quantity]]*Shoe_Sales[[#This Row],[Cost Price]])</f>
        <v>312</v>
      </c>
      <c r="P12" s="12">
        <f>(Shoe_Sales[[#This Row],[Revenue]]-Shoe_Sales[[#This Row],[Cost]])</f>
        <v>296</v>
      </c>
      <c r="Q12" s="15">
        <f>(Shoe_Sales[[#This Row],[Profit]]/Shoe_Sales[[#This Row],[Revenue]])</f>
        <v>0.48684210526315791</v>
      </c>
    </row>
    <row r="13" spans="1:17" x14ac:dyDescent="0.25">
      <c r="A13" s="9">
        <v>46097</v>
      </c>
      <c r="B13" s="4" t="s">
        <v>22</v>
      </c>
      <c r="C13" s="2" t="str">
        <f t="shared" si="0"/>
        <v>Loafers</v>
      </c>
      <c r="D13" s="4" t="s">
        <v>52</v>
      </c>
      <c r="E13" s="2" t="str">
        <f t="shared" si="1"/>
        <v>Casual</v>
      </c>
      <c r="F13" s="4" t="s">
        <v>29</v>
      </c>
      <c r="G13" s="4" t="s">
        <v>10</v>
      </c>
      <c r="H13" s="4" t="str">
        <f>PROPER(Shoe_Sales[[#This Row],[Brand]])</f>
        <v>Clarks</v>
      </c>
      <c r="I13" s="4" t="s">
        <v>50</v>
      </c>
      <c r="J13" s="5">
        <v>9</v>
      </c>
      <c r="K13" s="4" t="s">
        <v>81</v>
      </c>
      <c r="L13" s="12">
        <f>VLOOKUP(Shoe_Sales[[#This Row],[Product Cleaned]],Price!$A$2:$C$9,2,FALSE)</f>
        <v>54</v>
      </c>
      <c r="M13" s="12">
        <f>VLOOKUP(Shoe_Sales[[#This Row],[Product Cleaned]],Price!$A$2:$C$9,3,0)</f>
        <v>28</v>
      </c>
      <c r="N13" s="12">
        <f>(Shoe_Sales[[#This Row],[Quantity]]*Shoe_Sales[[#This Row],[Selling Price]])</f>
        <v>486</v>
      </c>
      <c r="O13" s="12">
        <f>(Shoe_Sales[[#This Row],[Quantity]]*Shoe_Sales[[#This Row],[Cost Price]])</f>
        <v>252</v>
      </c>
      <c r="P13" s="12">
        <f>(Shoe_Sales[[#This Row],[Revenue]]-Shoe_Sales[[#This Row],[Cost]])</f>
        <v>234</v>
      </c>
      <c r="Q13" s="15">
        <f>(Shoe_Sales[[#This Row],[Profit]]/Shoe_Sales[[#This Row],[Revenue]])</f>
        <v>0.48148148148148145</v>
      </c>
    </row>
    <row r="14" spans="1:17" x14ac:dyDescent="0.25">
      <c r="A14" s="8">
        <v>46146</v>
      </c>
      <c r="B14" s="2" t="s">
        <v>85</v>
      </c>
      <c r="C14" s="2" t="str">
        <f t="shared" si="0"/>
        <v>Brogues</v>
      </c>
      <c r="D14" s="2" t="s">
        <v>56</v>
      </c>
      <c r="E14" s="2" t="str">
        <f t="shared" si="1"/>
        <v>Utility</v>
      </c>
      <c r="F14" s="2" t="s">
        <v>29</v>
      </c>
      <c r="G14" s="2" t="s">
        <v>69</v>
      </c>
      <c r="H14" s="2" t="str">
        <f>PROPER(Shoe_Sales[[#This Row],[Brand]])</f>
        <v>Nike</v>
      </c>
      <c r="I14" s="2" t="s">
        <v>41</v>
      </c>
      <c r="J14" s="3">
        <v>14</v>
      </c>
      <c r="K14" s="2" t="s">
        <v>79</v>
      </c>
      <c r="L14" s="12">
        <f>VLOOKUP(Shoe_Sales[[#This Row],[Product Cleaned]],Price!$A$2:$C$9,2,FALSE)</f>
        <v>112</v>
      </c>
      <c r="M14" s="12">
        <f>VLOOKUP(Shoe_Sales[[#This Row],[Product Cleaned]],Price!$A$2:$C$9,3,0)</f>
        <v>64</v>
      </c>
      <c r="N14" s="12">
        <f>(Shoe_Sales[[#This Row],[Quantity]]*Shoe_Sales[[#This Row],[Selling Price]])</f>
        <v>1568</v>
      </c>
      <c r="O14" s="12">
        <f>(Shoe_Sales[[#This Row],[Quantity]]*Shoe_Sales[[#This Row],[Cost Price]])</f>
        <v>896</v>
      </c>
      <c r="P14" s="12">
        <f>(Shoe_Sales[[#This Row],[Revenue]]-Shoe_Sales[[#This Row],[Cost]])</f>
        <v>672</v>
      </c>
      <c r="Q14" s="15">
        <f>(Shoe_Sales[[#This Row],[Profit]]/Shoe_Sales[[#This Row],[Revenue]])</f>
        <v>0.42857142857142855</v>
      </c>
    </row>
    <row r="15" spans="1:17" x14ac:dyDescent="0.25">
      <c r="A15" s="9">
        <v>46031</v>
      </c>
      <c r="B15" s="4" t="s">
        <v>74</v>
      </c>
      <c r="C15" s="2" t="str">
        <f t="shared" si="0"/>
        <v>Oxford</v>
      </c>
      <c r="D15" s="4" t="s">
        <v>33</v>
      </c>
      <c r="E15" s="2" t="str">
        <f t="shared" si="1"/>
        <v>Formal</v>
      </c>
      <c r="F15" s="4" t="s">
        <v>29</v>
      </c>
      <c r="G15" s="4" t="s">
        <v>30</v>
      </c>
      <c r="H15" s="4" t="str">
        <f>PROPER(Shoe_Sales[[#This Row],[Brand]])</f>
        <v>Timberland</v>
      </c>
      <c r="I15" s="4" t="s">
        <v>11</v>
      </c>
      <c r="J15" s="5">
        <v>4</v>
      </c>
      <c r="K15" s="4" t="s">
        <v>80</v>
      </c>
      <c r="L15" s="12">
        <f>VLOOKUP(Shoe_Sales[[#This Row],[Product Cleaned]],Price!$A$2:$C$9,2,FALSE)</f>
        <v>105</v>
      </c>
      <c r="M15" s="12">
        <f>VLOOKUP(Shoe_Sales[[#This Row],[Product Cleaned]],Price!$A$2:$C$9,3,0)</f>
        <v>58</v>
      </c>
      <c r="N15" s="12">
        <f>(Shoe_Sales[[#This Row],[Quantity]]*Shoe_Sales[[#This Row],[Selling Price]])</f>
        <v>420</v>
      </c>
      <c r="O15" s="12">
        <f>(Shoe_Sales[[#This Row],[Quantity]]*Shoe_Sales[[#This Row],[Cost Price]])</f>
        <v>232</v>
      </c>
      <c r="P15" s="12">
        <f>(Shoe_Sales[[#This Row],[Revenue]]-Shoe_Sales[[#This Row],[Cost]])</f>
        <v>188</v>
      </c>
      <c r="Q15" s="15">
        <f>(Shoe_Sales[[#This Row],[Profit]]/Shoe_Sales[[#This Row],[Revenue]])</f>
        <v>0.44761904761904764</v>
      </c>
    </row>
    <row r="16" spans="1:17" x14ac:dyDescent="0.25">
      <c r="A16" s="8">
        <v>46199</v>
      </c>
      <c r="B16" s="2" t="s">
        <v>47</v>
      </c>
      <c r="C16" s="2" t="str">
        <f t="shared" si="0"/>
        <v>Slippers</v>
      </c>
      <c r="D16" s="2" t="s">
        <v>8</v>
      </c>
      <c r="E16" s="2" t="str">
        <f t="shared" si="1"/>
        <v>Formal</v>
      </c>
      <c r="F16" s="2" t="s">
        <v>19</v>
      </c>
      <c r="G16" s="2" t="s">
        <v>53</v>
      </c>
      <c r="H16" s="2" t="str">
        <f>PROPER(Shoe_Sales[[#This Row],[Brand]])</f>
        <v>Zara</v>
      </c>
      <c r="I16" s="2" t="s">
        <v>16</v>
      </c>
      <c r="J16" s="3">
        <v>6</v>
      </c>
      <c r="K16" s="2" t="s">
        <v>80</v>
      </c>
      <c r="L16" s="12">
        <f>VLOOKUP(Shoe_Sales[[#This Row],[Product Cleaned]],Price!$A$2:$C$9,2,FALSE)</f>
        <v>119</v>
      </c>
      <c r="M16" s="12">
        <f>VLOOKUP(Shoe_Sales[[#This Row],[Product Cleaned]],Price!$A$2:$C$9,3,0)</f>
        <v>67</v>
      </c>
      <c r="N16" s="12">
        <f>(Shoe_Sales[[#This Row],[Quantity]]*Shoe_Sales[[#This Row],[Selling Price]])</f>
        <v>714</v>
      </c>
      <c r="O16" s="12">
        <f>(Shoe_Sales[[#This Row],[Quantity]]*Shoe_Sales[[#This Row],[Cost Price]])</f>
        <v>402</v>
      </c>
      <c r="P16" s="12">
        <f>(Shoe_Sales[[#This Row],[Revenue]]-Shoe_Sales[[#This Row],[Cost]])</f>
        <v>312</v>
      </c>
      <c r="Q16" s="15">
        <f>(Shoe_Sales[[#This Row],[Profit]]/Shoe_Sales[[#This Row],[Revenue]])</f>
        <v>0.43697478991596639</v>
      </c>
    </row>
    <row r="17" spans="1:17" x14ac:dyDescent="0.25">
      <c r="A17" s="9">
        <v>46226</v>
      </c>
      <c r="B17" s="4" t="s">
        <v>7</v>
      </c>
      <c r="C17" s="2" t="str">
        <f t="shared" si="0"/>
        <v>Derby</v>
      </c>
      <c r="D17" s="4" t="s">
        <v>13</v>
      </c>
      <c r="E17" s="2" t="str">
        <f t="shared" si="1"/>
        <v>Casual</v>
      </c>
      <c r="F17" s="4" t="s">
        <v>29</v>
      </c>
      <c r="G17" s="4" t="s">
        <v>25</v>
      </c>
      <c r="H17" s="4" t="str">
        <f>PROPER(Shoe_Sales[[#This Row],[Brand]])</f>
        <v>Zara</v>
      </c>
      <c r="I17" s="4" t="s">
        <v>58</v>
      </c>
      <c r="J17" s="5">
        <v>10</v>
      </c>
      <c r="K17" s="4" t="s">
        <v>81</v>
      </c>
      <c r="L17" s="12">
        <f>VLOOKUP(Shoe_Sales[[#This Row],[Product Cleaned]],Price!$A$2:$C$9,2,FALSE)</f>
        <v>32</v>
      </c>
      <c r="M17" s="12">
        <f>VLOOKUP(Shoe_Sales[[#This Row],[Product Cleaned]],Price!$A$2:$C$9,3,0)</f>
        <v>14</v>
      </c>
      <c r="N17" s="12">
        <f>(Shoe_Sales[[#This Row],[Quantity]]*Shoe_Sales[[#This Row],[Selling Price]])</f>
        <v>320</v>
      </c>
      <c r="O17" s="12">
        <f>(Shoe_Sales[[#This Row],[Quantity]]*Shoe_Sales[[#This Row],[Cost Price]])</f>
        <v>140</v>
      </c>
      <c r="P17" s="12">
        <f>(Shoe_Sales[[#This Row],[Revenue]]-Shoe_Sales[[#This Row],[Cost]])</f>
        <v>180</v>
      </c>
      <c r="Q17" s="15">
        <f>(Shoe_Sales[[#This Row],[Profit]]/Shoe_Sales[[#This Row],[Revenue]])</f>
        <v>0.5625</v>
      </c>
    </row>
    <row r="18" spans="1:17" x14ac:dyDescent="0.25">
      <c r="A18" s="8">
        <v>46125</v>
      </c>
      <c r="B18" s="2" t="s">
        <v>55</v>
      </c>
      <c r="C18" s="2" t="str">
        <f t="shared" si="0"/>
        <v>Boots</v>
      </c>
      <c r="D18" s="2" t="s">
        <v>68</v>
      </c>
      <c r="E18" s="2" t="str">
        <f t="shared" si="1"/>
        <v>Open</v>
      </c>
      <c r="F18" s="2" t="s">
        <v>19</v>
      </c>
      <c r="G18" s="2" t="s">
        <v>45</v>
      </c>
      <c r="H18" s="2" t="str">
        <f>PROPER(Shoe_Sales[[#This Row],[Brand]])</f>
        <v>Steve Madden</v>
      </c>
      <c r="I18" s="2" t="s">
        <v>11</v>
      </c>
      <c r="J18" s="3">
        <v>7</v>
      </c>
      <c r="K18" s="2" t="s">
        <v>79</v>
      </c>
      <c r="L18" s="12">
        <f>VLOOKUP(Shoe_Sales[[#This Row],[Product Cleaned]],Price!$A$2:$C$9,2,FALSE)</f>
        <v>76</v>
      </c>
      <c r="M18" s="12">
        <f>VLOOKUP(Shoe_Sales[[#This Row],[Product Cleaned]],Price!$A$2:$C$9,3,0)</f>
        <v>39</v>
      </c>
      <c r="N18" s="12">
        <f>(Shoe_Sales[[#This Row],[Quantity]]*Shoe_Sales[[#This Row],[Selling Price]])</f>
        <v>532</v>
      </c>
      <c r="O18" s="12">
        <f>(Shoe_Sales[[#This Row],[Quantity]]*Shoe_Sales[[#This Row],[Cost Price]])</f>
        <v>273</v>
      </c>
      <c r="P18" s="12">
        <f>(Shoe_Sales[[#This Row],[Revenue]]-Shoe_Sales[[#This Row],[Cost]])</f>
        <v>259</v>
      </c>
      <c r="Q18" s="15">
        <f>(Shoe_Sales[[#This Row],[Profit]]/Shoe_Sales[[#This Row],[Revenue]])</f>
        <v>0.48684210526315791</v>
      </c>
    </row>
    <row r="19" spans="1:17" x14ac:dyDescent="0.25">
      <c r="A19" s="9">
        <v>46162</v>
      </c>
      <c r="B19" s="4" t="s">
        <v>64</v>
      </c>
      <c r="C19" s="2" t="str">
        <f t="shared" si="0"/>
        <v>Derby</v>
      </c>
      <c r="D19" s="4" t="s">
        <v>23</v>
      </c>
      <c r="E19" s="2" t="str">
        <f t="shared" si="1"/>
        <v>Casual</v>
      </c>
      <c r="F19" s="4" t="s">
        <v>24</v>
      </c>
      <c r="G19" s="4" t="s">
        <v>34</v>
      </c>
      <c r="H19" s="4" t="str">
        <f>PROPER(Shoe_Sales[[#This Row],[Brand]])</f>
        <v>Clarks</v>
      </c>
      <c r="I19" s="4" t="s">
        <v>26</v>
      </c>
      <c r="J19" s="5">
        <v>7</v>
      </c>
      <c r="K19" s="4" t="s">
        <v>82</v>
      </c>
      <c r="L19" s="12">
        <f>VLOOKUP(Shoe_Sales[[#This Row],[Product Cleaned]],Price!$A$2:$C$9,2,FALSE)</f>
        <v>32</v>
      </c>
      <c r="M19" s="12">
        <f>VLOOKUP(Shoe_Sales[[#This Row],[Product Cleaned]],Price!$A$2:$C$9,3,0)</f>
        <v>14</v>
      </c>
      <c r="N19" s="12">
        <f>(Shoe_Sales[[#This Row],[Quantity]]*Shoe_Sales[[#This Row],[Selling Price]])</f>
        <v>224</v>
      </c>
      <c r="O19" s="12">
        <f>(Shoe_Sales[[#This Row],[Quantity]]*Shoe_Sales[[#This Row],[Cost Price]])</f>
        <v>98</v>
      </c>
      <c r="P19" s="12">
        <f>(Shoe_Sales[[#This Row],[Revenue]]-Shoe_Sales[[#This Row],[Cost]])</f>
        <v>126</v>
      </c>
      <c r="Q19" s="15">
        <f>(Shoe_Sales[[#This Row],[Profit]]/Shoe_Sales[[#This Row],[Revenue]])</f>
        <v>0.5625</v>
      </c>
    </row>
    <row r="20" spans="1:17" x14ac:dyDescent="0.25">
      <c r="A20" s="8">
        <v>46112</v>
      </c>
      <c r="B20" s="2" t="s">
        <v>32</v>
      </c>
      <c r="C20" s="2" t="str">
        <f t="shared" si="0"/>
        <v>Oxford</v>
      </c>
      <c r="D20" s="2" t="s">
        <v>68</v>
      </c>
      <c r="E20" s="2" t="str">
        <f t="shared" si="1"/>
        <v>Open</v>
      </c>
      <c r="F20" s="2" t="s">
        <v>9</v>
      </c>
      <c r="G20" s="2" t="s">
        <v>60</v>
      </c>
      <c r="H20" s="2" t="str">
        <f>PROPER(Shoe_Sales[[#This Row],[Brand]])</f>
        <v>Clarks</v>
      </c>
      <c r="I20" s="2" t="s">
        <v>26</v>
      </c>
      <c r="J20" s="3">
        <v>11</v>
      </c>
      <c r="K20" s="2" t="s">
        <v>81</v>
      </c>
      <c r="L20" s="12">
        <f>VLOOKUP(Shoe_Sales[[#This Row],[Product Cleaned]],Price!$A$2:$C$9,2,FALSE)</f>
        <v>105</v>
      </c>
      <c r="M20" s="12">
        <f>VLOOKUP(Shoe_Sales[[#This Row],[Product Cleaned]],Price!$A$2:$C$9,3,0)</f>
        <v>58</v>
      </c>
      <c r="N20" s="12">
        <f>(Shoe_Sales[[#This Row],[Quantity]]*Shoe_Sales[[#This Row],[Selling Price]])</f>
        <v>1155</v>
      </c>
      <c r="O20" s="12">
        <f>(Shoe_Sales[[#This Row],[Quantity]]*Shoe_Sales[[#This Row],[Cost Price]])</f>
        <v>638</v>
      </c>
      <c r="P20" s="12">
        <f>(Shoe_Sales[[#This Row],[Revenue]]-Shoe_Sales[[#This Row],[Cost]])</f>
        <v>517</v>
      </c>
      <c r="Q20" s="15">
        <f>(Shoe_Sales[[#This Row],[Profit]]/Shoe_Sales[[#This Row],[Revenue]])</f>
        <v>0.44761904761904764</v>
      </c>
    </row>
    <row r="21" spans="1:17" x14ac:dyDescent="0.25">
      <c r="A21" s="9">
        <v>46147</v>
      </c>
      <c r="B21" s="4" t="s">
        <v>55</v>
      </c>
      <c r="C21" s="2" t="str">
        <f t="shared" si="0"/>
        <v>Boots</v>
      </c>
      <c r="D21" s="4" t="s">
        <v>56</v>
      </c>
      <c r="E21" s="2" t="str">
        <f t="shared" si="1"/>
        <v>Utility</v>
      </c>
      <c r="F21" s="4" t="s">
        <v>19</v>
      </c>
      <c r="G21" s="4" t="s">
        <v>20</v>
      </c>
      <c r="H21" s="4" t="str">
        <f>PROPER(Shoe_Sales[[#This Row],[Brand]])</f>
        <v>Nike</v>
      </c>
      <c r="I21" s="4" t="s">
        <v>61</v>
      </c>
      <c r="J21" s="5">
        <v>6</v>
      </c>
      <c r="K21" s="4" t="s">
        <v>81</v>
      </c>
      <c r="L21" s="12">
        <f>VLOOKUP(Shoe_Sales[[#This Row],[Product Cleaned]],Price!$A$2:$C$9,2,FALSE)</f>
        <v>76</v>
      </c>
      <c r="M21" s="12">
        <f>VLOOKUP(Shoe_Sales[[#This Row],[Product Cleaned]],Price!$A$2:$C$9,3,0)</f>
        <v>39</v>
      </c>
      <c r="N21" s="12">
        <f>(Shoe_Sales[[#This Row],[Quantity]]*Shoe_Sales[[#This Row],[Selling Price]])</f>
        <v>456</v>
      </c>
      <c r="O21" s="12">
        <f>(Shoe_Sales[[#This Row],[Quantity]]*Shoe_Sales[[#This Row],[Cost Price]])</f>
        <v>234</v>
      </c>
      <c r="P21" s="12">
        <f>(Shoe_Sales[[#This Row],[Revenue]]-Shoe_Sales[[#This Row],[Cost]])</f>
        <v>222</v>
      </c>
      <c r="Q21" s="15">
        <f>(Shoe_Sales[[#This Row],[Profit]]/Shoe_Sales[[#This Row],[Revenue]])</f>
        <v>0.48684210526315791</v>
      </c>
    </row>
    <row r="22" spans="1:17" x14ac:dyDescent="0.25">
      <c r="A22" s="8">
        <v>46241</v>
      </c>
      <c r="B22" s="2" t="s">
        <v>76</v>
      </c>
      <c r="C22" s="2" t="str">
        <f t="shared" si="0"/>
        <v>Monk Straps</v>
      </c>
      <c r="D22" s="2" t="s">
        <v>39</v>
      </c>
      <c r="E22" s="2" t="str">
        <f t="shared" si="1"/>
        <v>Formal</v>
      </c>
      <c r="F22" s="2" t="s">
        <v>19</v>
      </c>
      <c r="G22" s="2" t="s">
        <v>34</v>
      </c>
      <c r="H22" s="2" t="str">
        <f>PROPER(Shoe_Sales[[#This Row],[Brand]])</f>
        <v>Clarks</v>
      </c>
      <c r="I22" s="2" t="s">
        <v>41</v>
      </c>
      <c r="J22" s="3">
        <v>8</v>
      </c>
      <c r="K22" s="2" t="s">
        <v>80</v>
      </c>
      <c r="L22" s="12">
        <f>VLOOKUP(Shoe_Sales[[#This Row],[Product Cleaned]],Price!$A$2:$C$9,2,FALSE)</f>
        <v>89</v>
      </c>
      <c r="M22" s="12">
        <f>VLOOKUP(Shoe_Sales[[#This Row],[Product Cleaned]],Price!$A$2:$C$9,3,0)</f>
        <v>47</v>
      </c>
      <c r="N22" s="12">
        <f>(Shoe_Sales[[#This Row],[Quantity]]*Shoe_Sales[[#This Row],[Selling Price]])</f>
        <v>712</v>
      </c>
      <c r="O22" s="12">
        <f>(Shoe_Sales[[#This Row],[Quantity]]*Shoe_Sales[[#This Row],[Cost Price]])</f>
        <v>376</v>
      </c>
      <c r="P22" s="12">
        <f>(Shoe_Sales[[#This Row],[Revenue]]-Shoe_Sales[[#This Row],[Cost]])</f>
        <v>336</v>
      </c>
      <c r="Q22" s="15">
        <f>(Shoe_Sales[[#This Row],[Profit]]/Shoe_Sales[[#This Row],[Revenue]])</f>
        <v>0.47191011235955055</v>
      </c>
    </row>
    <row r="23" spans="1:17" x14ac:dyDescent="0.25">
      <c r="A23" s="9">
        <v>46217</v>
      </c>
      <c r="B23" s="4" t="s">
        <v>75</v>
      </c>
      <c r="C23" s="2" t="str">
        <f t="shared" si="0"/>
        <v>Brogues</v>
      </c>
      <c r="D23" s="4" t="s">
        <v>13</v>
      </c>
      <c r="E23" s="2" t="str">
        <f t="shared" si="1"/>
        <v>Casual</v>
      </c>
      <c r="F23" s="4" t="s">
        <v>29</v>
      </c>
      <c r="G23" s="4" t="s">
        <v>45</v>
      </c>
      <c r="H23" s="4" t="str">
        <f>PROPER(Shoe_Sales[[#This Row],[Brand]])</f>
        <v>Steve Madden</v>
      </c>
      <c r="I23" s="4" t="s">
        <v>50</v>
      </c>
      <c r="J23" s="5">
        <v>5</v>
      </c>
      <c r="K23" s="4" t="s">
        <v>82</v>
      </c>
      <c r="L23" s="12">
        <f>VLOOKUP(Shoe_Sales[[#This Row],[Product Cleaned]],Price!$A$2:$C$9,2,FALSE)</f>
        <v>112</v>
      </c>
      <c r="M23" s="12">
        <f>VLOOKUP(Shoe_Sales[[#This Row],[Product Cleaned]],Price!$A$2:$C$9,3,0)</f>
        <v>64</v>
      </c>
      <c r="N23" s="12">
        <f>(Shoe_Sales[[#This Row],[Quantity]]*Shoe_Sales[[#This Row],[Selling Price]])</f>
        <v>560</v>
      </c>
      <c r="O23" s="12">
        <f>(Shoe_Sales[[#This Row],[Quantity]]*Shoe_Sales[[#This Row],[Cost Price]])</f>
        <v>320</v>
      </c>
      <c r="P23" s="12">
        <f>(Shoe_Sales[[#This Row],[Revenue]]-Shoe_Sales[[#This Row],[Cost]])</f>
        <v>240</v>
      </c>
      <c r="Q23" s="15">
        <f>(Shoe_Sales[[#This Row],[Profit]]/Shoe_Sales[[#This Row],[Revenue]])</f>
        <v>0.42857142857142855</v>
      </c>
    </row>
    <row r="24" spans="1:17" x14ac:dyDescent="0.25">
      <c r="A24" s="8">
        <v>46034</v>
      </c>
      <c r="B24" s="2" t="s">
        <v>59</v>
      </c>
      <c r="C24" s="2" t="str">
        <f t="shared" si="0"/>
        <v>Oxford</v>
      </c>
      <c r="D24" s="2" t="s">
        <v>33</v>
      </c>
      <c r="E24" s="2" t="str">
        <f t="shared" si="1"/>
        <v>Formal</v>
      </c>
      <c r="F24" s="2" t="s">
        <v>29</v>
      </c>
      <c r="G24" s="2" t="s">
        <v>66</v>
      </c>
      <c r="H24" s="2" t="str">
        <f>PROPER(Shoe_Sales[[#This Row],[Brand]])</f>
        <v>Steve Madden</v>
      </c>
      <c r="I24" s="2" t="s">
        <v>61</v>
      </c>
      <c r="J24" s="3">
        <v>15</v>
      </c>
      <c r="K24" s="2" t="s">
        <v>80</v>
      </c>
      <c r="L24" s="12">
        <f>VLOOKUP(Shoe_Sales[[#This Row],[Product Cleaned]],Price!$A$2:$C$9,2,FALSE)</f>
        <v>105</v>
      </c>
      <c r="M24" s="12">
        <f>VLOOKUP(Shoe_Sales[[#This Row],[Product Cleaned]],Price!$A$2:$C$9,3,0)</f>
        <v>58</v>
      </c>
      <c r="N24" s="12">
        <f>(Shoe_Sales[[#This Row],[Quantity]]*Shoe_Sales[[#This Row],[Selling Price]])</f>
        <v>1575</v>
      </c>
      <c r="O24" s="12">
        <f>(Shoe_Sales[[#This Row],[Quantity]]*Shoe_Sales[[#This Row],[Cost Price]])</f>
        <v>870</v>
      </c>
      <c r="P24" s="12">
        <f>(Shoe_Sales[[#This Row],[Revenue]]-Shoe_Sales[[#This Row],[Cost]])</f>
        <v>705</v>
      </c>
      <c r="Q24" s="15">
        <f>(Shoe_Sales[[#This Row],[Profit]]/Shoe_Sales[[#This Row],[Revenue]])</f>
        <v>0.44761904761904764</v>
      </c>
    </row>
    <row r="25" spans="1:17" x14ac:dyDescent="0.25">
      <c r="A25" s="9">
        <v>46050</v>
      </c>
      <c r="B25" s="4" t="s">
        <v>65</v>
      </c>
      <c r="C25" s="2" t="str">
        <f t="shared" si="0"/>
        <v>Canvas</v>
      </c>
      <c r="D25" s="4" t="s">
        <v>8</v>
      </c>
      <c r="E25" s="2" t="str">
        <f t="shared" si="1"/>
        <v>Formal</v>
      </c>
      <c r="F25" s="4" t="s">
        <v>29</v>
      </c>
      <c r="G25" s="4" t="s">
        <v>15</v>
      </c>
      <c r="H25" s="4" t="str">
        <f>PROPER(Shoe_Sales[[#This Row],[Brand]])</f>
        <v>Steve Madden</v>
      </c>
      <c r="I25" s="4" t="s">
        <v>46</v>
      </c>
      <c r="J25" s="5">
        <v>1</v>
      </c>
      <c r="K25" s="4" t="s">
        <v>80</v>
      </c>
      <c r="L25" s="12">
        <f>VLOOKUP(Shoe_Sales[[#This Row],[Product Cleaned]],Price!$A$2:$C$9,2,FALSE)</f>
        <v>128</v>
      </c>
      <c r="M25" s="12">
        <f>VLOOKUP(Shoe_Sales[[#This Row],[Product Cleaned]],Price!$A$2:$C$9,3,0)</f>
        <v>72</v>
      </c>
      <c r="N25" s="12">
        <f>(Shoe_Sales[[#This Row],[Quantity]]*Shoe_Sales[[#This Row],[Selling Price]])</f>
        <v>128</v>
      </c>
      <c r="O25" s="12">
        <f>(Shoe_Sales[[#This Row],[Quantity]]*Shoe_Sales[[#This Row],[Cost Price]])</f>
        <v>72</v>
      </c>
      <c r="P25" s="12">
        <f>(Shoe_Sales[[#This Row],[Revenue]]-Shoe_Sales[[#This Row],[Cost]])</f>
        <v>56</v>
      </c>
      <c r="Q25" s="15">
        <f>(Shoe_Sales[[#This Row],[Profit]]/Shoe_Sales[[#This Row],[Revenue]])</f>
        <v>0.4375</v>
      </c>
    </row>
    <row r="26" spans="1:17" x14ac:dyDescent="0.25">
      <c r="A26" s="8">
        <v>46035</v>
      </c>
      <c r="B26" s="2" t="s">
        <v>71</v>
      </c>
      <c r="C26" s="2" t="str">
        <f t="shared" si="0"/>
        <v>Boots</v>
      </c>
      <c r="D26" s="2" t="s">
        <v>23</v>
      </c>
      <c r="E26" s="2" t="str">
        <f t="shared" si="1"/>
        <v>Casual</v>
      </c>
      <c r="F26" s="2" t="s">
        <v>24</v>
      </c>
      <c r="G26" s="2" t="s">
        <v>10</v>
      </c>
      <c r="H26" s="2" t="str">
        <f>PROPER(Shoe_Sales[[#This Row],[Brand]])</f>
        <v>Clarks</v>
      </c>
      <c r="I26" s="2" t="s">
        <v>21</v>
      </c>
      <c r="J26" s="3">
        <v>12</v>
      </c>
      <c r="K26" s="2" t="s">
        <v>81</v>
      </c>
      <c r="L26" s="12">
        <f>VLOOKUP(Shoe_Sales[[#This Row],[Product Cleaned]],Price!$A$2:$C$9,2,FALSE)</f>
        <v>76</v>
      </c>
      <c r="M26" s="12">
        <f>VLOOKUP(Shoe_Sales[[#This Row],[Product Cleaned]],Price!$A$2:$C$9,3,0)</f>
        <v>39</v>
      </c>
      <c r="N26" s="12">
        <f>(Shoe_Sales[[#This Row],[Quantity]]*Shoe_Sales[[#This Row],[Selling Price]])</f>
        <v>912</v>
      </c>
      <c r="O26" s="12">
        <f>(Shoe_Sales[[#This Row],[Quantity]]*Shoe_Sales[[#This Row],[Cost Price]])</f>
        <v>468</v>
      </c>
      <c r="P26" s="12">
        <f>(Shoe_Sales[[#This Row],[Revenue]]-Shoe_Sales[[#This Row],[Cost]])</f>
        <v>444</v>
      </c>
      <c r="Q26" s="15">
        <f>(Shoe_Sales[[#This Row],[Profit]]/Shoe_Sales[[#This Row],[Revenue]])</f>
        <v>0.48684210526315791</v>
      </c>
    </row>
    <row r="27" spans="1:17" x14ac:dyDescent="0.25">
      <c r="A27" s="9">
        <v>46094</v>
      </c>
      <c r="B27" s="4" t="s">
        <v>22</v>
      </c>
      <c r="C27" s="2" t="str">
        <f t="shared" si="0"/>
        <v>Loafers</v>
      </c>
      <c r="D27" s="4" t="s">
        <v>56</v>
      </c>
      <c r="E27" s="2" t="str">
        <f t="shared" si="1"/>
        <v>Utility</v>
      </c>
      <c r="F27" s="4" t="s">
        <v>29</v>
      </c>
      <c r="G27" s="4" t="s">
        <v>45</v>
      </c>
      <c r="H27" s="4" t="str">
        <f>PROPER(Shoe_Sales[[#This Row],[Brand]])</f>
        <v>Steve Madden</v>
      </c>
      <c r="I27" s="4" t="s">
        <v>37</v>
      </c>
      <c r="J27" s="5">
        <v>9</v>
      </c>
      <c r="K27" s="4" t="s">
        <v>82</v>
      </c>
      <c r="L27" s="12">
        <f>VLOOKUP(Shoe_Sales[[#This Row],[Product Cleaned]],Price!$A$2:$C$9,2,FALSE)</f>
        <v>54</v>
      </c>
      <c r="M27" s="12">
        <f>VLOOKUP(Shoe_Sales[[#This Row],[Product Cleaned]],Price!$A$2:$C$9,3,0)</f>
        <v>28</v>
      </c>
      <c r="N27" s="12">
        <f>(Shoe_Sales[[#This Row],[Quantity]]*Shoe_Sales[[#This Row],[Selling Price]])</f>
        <v>486</v>
      </c>
      <c r="O27" s="12">
        <f>(Shoe_Sales[[#This Row],[Quantity]]*Shoe_Sales[[#This Row],[Cost Price]])</f>
        <v>252</v>
      </c>
      <c r="P27" s="12">
        <f>(Shoe_Sales[[#This Row],[Revenue]]-Shoe_Sales[[#This Row],[Cost]])</f>
        <v>234</v>
      </c>
      <c r="Q27" s="15">
        <f>(Shoe_Sales[[#This Row],[Profit]]/Shoe_Sales[[#This Row],[Revenue]])</f>
        <v>0.48148148148148145</v>
      </c>
    </row>
    <row r="28" spans="1:17" x14ac:dyDescent="0.25">
      <c r="A28" s="8">
        <v>46214</v>
      </c>
      <c r="B28" s="2" t="s">
        <v>74</v>
      </c>
      <c r="C28" s="2" t="str">
        <f t="shared" si="0"/>
        <v>Oxford</v>
      </c>
      <c r="D28" s="2" t="s">
        <v>39</v>
      </c>
      <c r="E28" s="2" t="str">
        <f t="shared" si="1"/>
        <v>Formal</v>
      </c>
      <c r="F28" s="2" t="s">
        <v>29</v>
      </c>
      <c r="G28" s="2" t="s">
        <v>60</v>
      </c>
      <c r="H28" s="2" t="str">
        <f>PROPER(Shoe_Sales[[#This Row],[Brand]])</f>
        <v>Clarks</v>
      </c>
      <c r="I28" s="2" t="s">
        <v>21</v>
      </c>
      <c r="J28" s="3">
        <v>5</v>
      </c>
      <c r="K28" s="2" t="s">
        <v>82</v>
      </c>
      <c r="L28" s="12">
        <f>VLOOKUP(Shoe_Sales[[#This Row],[Product Cleaned]],Price!$A$2:$C$9,2,FALSE)</f>
        <v>105</v>
      </c>
      <c r="M28" s="12">
        <f>VLOOKUP(Shoe_Sales[[#This Row],[Product Cleaned]],Price!$A$2:$C$9,3,0)</f>
        <v>58</v>
      </c>
      <c r="N28" s="12">
        <f>(Shoe_Sales[[#This Row],[Quantity]]*Shoe_Sales[[#This Row],[Selling Price]])</f>
        <v>525</v>
      </c>
      <c r="O28" s="12">
        <f>(Shoe_Sales[[#This Row],[Quantity]]*Shoe_Sales[[#This Row],[Cost Price]])</f>
        <v>290</v>
      </c>
      <c r="P28" s="12">
        <f>(Shoe_Sales[[#This Row],[Revenue]]-Shoe_Sales[[#This Row],[Cost]])</f>
        <v>235</v>
      </c>
      <c r="Q28" s="15">
        <f>(Shoe_Sales[[#This Row],[Profit]]/Shoe_Sales[[#This Row],[Revenue]])</f>
        <v>0.44761904761904764</v>
      </c>
    </row>
    <row r="29" spans="1:17" x14ac:dyDescent="0.25">
      <c r="A29" s="9">
        <v>46091</v>
      </c>
      <c r="B29" s="4" t="s">
        <v>22</v>
      </c>
      <c r="C29" s="2" t="str">
        <f t="shared" si="0"/>
        <v>Loafers</v>
      </c>
      <c r="D29" s="4" t="s">
        <v>23</v>
      </c>
      <c r="E29" s="2" t="str">
        <f t="shared" si="1"/>
        <v>Casual</v>
      </c>
      <c r="F29" s="4" t="s">
        <v>29</v>
      </c>
      <c r="G29" s="4" t="s">
        <v>10</v>
      </c>
      <c r="H29" s="4" t="str">
        <f>PROPER(Shoe_Sales[[#This Row],[Brand]])</f>
        <v>Clarks</v>
      </c>
      <c r="I29" s="4" t="s">
        <v>61</v>
      </c>
      <c r="J29" s="5">
        <v>8</v>
      </c>
      <c r="K29" s="4" t="s">
        <v>79</v>
      </c>
      <c r="L29" s="12">
        <f>VLOOKUP(Shoe_Sales[[#This Row],[Product Cleaned]],Price!$A$2:$C$9,2,FALSE)</f>
        <v>54</v>
      </c>
      <c r="M29" s="12">
        <f>VLOOKUP(Shoe_Sales[[#This Row],[Product Cleaned]],Price!$A$2:$C$9,3,0)</f>
        <v>28</v>
      </c>
      <c r="N29" s="12">
        <f>(Shoe_Sales[[#This Row],[Quantity]]*Shoe_Sales[[#This Row],[Selling Price]])</f>
        <v>432</v>
      </c>
      <c r="O29" s="12">
        <f>(Shoe_Sales[[#This Row],[Quantity]]*Shoe_Sales[[#This Row],[Cost Price]])</f>
        <v>224</v>
      </c>
      <c r="P29" s="12">
        <f>(Shoe_Sales[[#This Row],[Revenue]]-Shoe_Sales[[#This Row],[Cost]])</f>
        <v>208</v>
      </c>
      <c r="Q29" s="15">
        <f>(Shoe_Sales[[#This Row],[Profit]]/Shoe_Sales[[#This Row],[Revenue]])</f>
        <v>0.48148148148148145</v>
      </c>
    </row>
    <row r="30" spans="1:17" x14ac:dyDescent="0.25">
      <c r="A30" s="8">
        <v>46142</v>
      </c>
      <c r="B30" s="2" t="s">
        <v>59</v>
      </c>
      <c r="C30" s="2" t="str">
        <f t="shared" si="0"/>
        <v>Oxford</v>
      </c>
      <c r="D30" s="2" t="s">
        <v>33</v>
      </c>
      <c r="E30" s="2" t="str">
        <f t="shared" si="1"/>
        <v>Formal</v>
      </c>
      <c r="F30" s="2" t="s">
        <v>19</v>
      </c>
      <c r="G30" s="2" t="s">
        <v>40</v>
      </c>
      <c r="H30" s="2" t="str">
        <f>PROPER(Shoe_Sales[[#This Row],[Brand]])</f>
        <v>Zara</v>
      </c>
      <c r="I30" s="2" t="s">
        <v>11</v>
      </c>
      <c r="J30" s="3">
        <v>2</v>
      </c>
      <c r="K30" s="2" t="s">
        <v>79</v>
      </c>
      <c r="L30" s="12">
        <f>VLOOKUP(Shoe_Sales[[#This Row],[Product Cleaned]],Price!$A$2:$C$9,2,FALSE)</f>
        <v>105</v>
      </c>
      <c r="M30" s="12">
        <f>VLOOKUP(Shoe_Sales[[#This Row],[Product Cleaned]],Price!$A$2:$C$9,3,0)</f>
        <v>58</v>
      </c>
      <c r="N30" s="12">
        <f>(Shoe_Sales[[#This Row],[Quantity]]*Shoe_Sales[[#This Row],[Selling Price]])</f>
        <v>210</v>
      </c>
      <c r="O30" s="12">
        <f>(Shoe_Sales[[#This Row],[Quantity]]*Shoe_Sales[[#This Row],[Cost Price]])</f>
        <v>116</v>
      </c>
      <c r="P30" s="12">
        <f>(Shoe_Sales[[#This Row],[Revenue]]-Shoe_Sales[[#This Row],[Cost]])</f>
        <v>94</v>
      </c>
      <c r="Q30" s="15">
        <f>(Shoe_Sales[[#This Row],[Profit]]/Shoe_Sales[[#This Row],[Revenue]])</f>
        <v>0.44761904761904764</v>
      </c>
    </row>
    <row r="31" spans="1:17" x14ac:dyDescent="0.25">
      <c r="A31" s="9">
        <v>46068</v>
      </c>
      <c r="B31" s="4" t="s">
        <v>38</v>
      </c>
      <c r="C31" s="2" t="str">
        <f t="shared" si="0"/>
        <v>Monk Straps</v>
      </c>
      <c r="D31" s="4" t="s">
        <v>39</v>
      </c>
      <c r="E31" s="2" t="str">
        <f t="shared" si="1"/>
        <v>Formal</v>
      </c>
      <c r="F31" s="4" t="s">
        <v>24</v>
      </c>
      <c r="G31" s="4" t="s">
        <v>53</v>
      </c>
      <c r="H31" s="4" t="str">
        <f>PROPER(Shoe_Sales[[#This Row],[Brand]])</f>
        <v>Zara</v>
      </c>
      <c r="I31" s="4" t="s">
        <v>43</v>
      </c>
      <c r="J31" s="5">
        <v>7</v>
      </c>
      <c r="K31" s="4" t="s">
        <v>81</v>
      </c>
      <c r="L31" s="12">
        <f>VLOOKUP(Shoe_Sales[[#This Row],[Product Cleaned]],Price!$A$2:$C$9,2,FALSE)</f>
        <v>89</v>
      </c>
      <c r="M31" s="12">
        <f>VLOOKUP(Shoe_Sales[[#This Row],[Product Cleaned]],Price!$A$2:$C$9,3,0)</f>
        <v>47</v>
      </c>
      <c r="N31" s="12">
        <f>(Shoe_Sales[[#This Row],[Quantity]]*Shoe_Sales[[#This Row],[Selling Price]])</f>
        <v>623</v>
      </c>
      <c r="O31" s="12">
        <f>(Shoe_Sales[[#This Row],[Quantity]]*Shoe_Sales[[#This Row],[Cost Price]])</f>
        <v>329</v>
      </c>
      <c r="P31" s="12">
        <f>(Shoe_Sales[[#This Row],[Revenue]]-Shoe_Sales[[#This Row],[Cost]])</f>
        <v>294</v>
      </c>
      <c r="Q31" s="15">
        <f>(Shoe_Sales[[#This Row],[Profit]]/Shoe_Sales[[#This Row],[Revenue]])</f>
        <v>0.47191011235955055</v>
      </c>
    </row>
    <row r="32" spans="1:17" x14ac:dyDescent="0.25">
      <c r="A32" s="8">
        <v>46219</v>
      </c>
      <c r="B32" s="2" t="s">
        <v>36</v>
      </c>
      <c r="C32" s="2" t="str">
        <f t="shared" si="0"/>
        <v>Brogues</v>
      </c>
      <c r="D32" s="2" t="s">
        <v>33</v>
      </c>
      <c r="E32" s="2" t="str">
        <f t="shared" si="1"/>
        <v>Formal</v>
      </c>
      <c r="F32" s="2" t="s">
        <v>19</v>
      </c>
      <c r="G32" s="2" t="s">
        <v>66</v>
      </c>
      <c r="H32" s="2" t="str">
        <f>PROPER(Shoe_Sales[[#This Row],[Brand]])</f>
        <v>Steve Madden</v>
      </c>
      <c r="I32" s="2" t="s">
        <v>41</v>
      </c>
      <c r="J32" s="3">
        <v>12</v>
      </c>
      <c r="K32" s="2" t="s">
        <v>82</v>
      </c>
      <c r="L32" s="12">
        <f>VLOOKUP(Shoe_Sales[[#This Row],[Product Cleaned]],Price!$A$2:$C$9,2,FALSE)</f>
        <v>112</v>
      </c>
      <c r="M32" s="12">
        <f>VLOOKUP(Shoe_Sales[[#This Row],[Product Cleaned]],Price!$A$2:$C$9,3,0)</f>
        <v>64</v>
      </c>
      <c r="N32" s="12">
        <f>(Shoe_Sales[[#This Row],[Quantity]]*Shoe_Sales[[#This Row],[Selling Price]])</f>
        <v>1344</v>
      </c>
      <c r="O32" s="12">
        <f>(Shoe_Sales[[#This Row],[Quantity]]*Shoe_Sales[[#This Row],[Cost Price]])</f>
        <v>768</v>
      </c>
      <c r="P32" s="12">
        <f>(Shoe_Sales[[#This Row],[Revenue]]-Shoe_Sales[[#This Row],[Cost]])</f>
        <v>576</v>
      </c>
      <c r="Q32" s="15">
        <f>(Shoe_Sales[[#This Row],[Profit]]/Shoe_Sales[[#This Row],[Revenue]])</f>
        <v>0.42857142857142855</v>
      </c>
    </row>
    <row r="33" spans="1:17" x14ac:dyDescent="0.25">
      <c r="A33" s="9">
        <v>46185</v>
      </c>
      <c r="B33" s="4" t="s">
        <v>86</v>
      </c>
      <c r="C33" s="2" t="str">
        <f t="shared" si="0"/>
        <v>Canvas</v>
      </c>
      <c r="D33" s="4" t="s">
        <v>33</v>
      </c>
      <c r="E33" s="2" t="str">
        <f t="shared" si="1"/>
        <v>Formal</v>
      </c>
      <c r="F33" s="4" t="s">
        <v>24</v>
      </c>
      <c r="G33" s="4" t="s">
        <v>34</v>
      </c>
      <c r="H33" s="4" t="str">
        <f>PROPER(Shoe_Sales[[#This Row],[Brand]])</f>
        <v>Clarks</v>
      </c>
      <c r="I33" s="4" t="s">
        <v>61</v>
      </c>
      <c r="J33" s="5">
        <v>15</v>
      </c>
      <c r="K33" s="4" t="s">
        <v>80</v>
      </c>
      <c r="L33" s="12">
        <f>VLOOKUP(Shoe_Sales[[#This Row],[Product Cleaned]],Price!$A$2:$C$9,2,FALSE)</f>
        <v>128</v>
      </c>
      <c r="M33" s="12">
        <f>VLOOKUP(Shoe_Sales[[#This Row],[Product Cleaned]],Price!$A$2:$C$9,3,0)</f>
        <v>72</v>
      </c>
      <c r="N33" s="12">
        <f>(Shoe_Sales[[#This Row],[Quantity]]*Shoe_Sales[[#This Row],[Selling Price]])</f>
        <v>1920</v>
      </c>
      <c r="O33" s="12">
        <f>(Shoe_Sales[[#This Row],[Quantity]]*Shoe_Sales[[#This Row],[Cost Price]])</f>
        <v>1080</v>
      </c>
      <c r="P33" s="12">
        <f>(Shoe_Sales[[#This Row],[Revenue]]-Shoe_Sales[[#This Row],[Cost]])</f>
        <v>840</v>
      </c>
      <c r="Q33" s="15">
        <f>(Shoe_Sales[[#This Row],[Profit]]/Shoe_Sales[[#This Row],[Revenue]])</f>
        <v>0.4375</v>
      </c>
    </row>
    <row r="34" spans="1:17" x14ac:dyDescent="0.25">
      <c r="A34" s="8">
        <v>46236</v>
      </c>
      <c r="B34" s="2" t="s">
        <v>55</v>
      </c>
      <c r="C34" s="2" t="str">
        <f t="shared" si="0"/>
        <v>Boots</v>
      </c>
      <c r="D34" s="2" t="s">
        <v>8</v>
      </c>
      <c r="E34" s="2" t="str">
        <f t="shared" si="1"/>
        <v>Formal</v>
      </c>
      <c r="F34" s="2" t="s">
        <v>19</v>
      </c>
      <c r="G34" s="2" t="s">
        <v>25</v>
      </c>
      <c r="H34" s="2" t="str">
        <f>PROPER(Shoe_Sales[[#This Row],[Brand]])</f>
        <v>Zara</v>
      </c>
      <c r="I34" s="2" t="s">
        <v>16</v>
      </c>
      <c r="J34" s="3">
        <v>7</v>
      </c>
      <c r="K34" s="2" t="s">
        <v>82</v>
      </c>
      <c r="L34" s="12">
        <f>VLOOKUP(Shoe_Sales[[#This Row],[Product Cleaned]],Price!$A$2:$C$9,2,FALSE)</f>
        <v>76</v>
      </c>
      <c r="M34" s="12">
        <f>VLOOKUP(Shoe_Sales[[#This Row],[Product Cleaned]],Price!$A$2:$C$9,3,0)</f>
        <v>39</v>
      </c>
      <c r="N34" s="12">
        <f>(Shoe_Sales[[#This Row],[Quantity]]*Shoe_Sales[[#This Row],[Selling Price]])</f>
        <v>532</v>
      </c>
      <c r="O34" s="12">
        <f>(Shoe_Sales[[#This Row],[Quantity]]*Shoe_Sales[[#This Row],[Cost Price]])</f>
        <v>273</v>
      </c>
      <c r="P34" s="12">
        <f>(Shoe_Sales[[#This Row],[Revenue]]-Shoe_Sales[[#This Row],[Cost]])</f>
        <v>259</v>
      </c>
      <c r="Q34" s="15">
        <f>(Shoe_Sales[[#This Row],[Profit]]/Shoe_Sales[[#This Row],[Revenue]])</f>
        <v>0.48684210526315791</v>
      </c>
    </row>
    <row r="35" spans="1:17" x14ac:dyDescent="0.25">
      <c r="A35" s="9">
        <v>46111</v>
      </c>
      <c r="B35" s="4" t="s">
        <v>75</v>
      </c>
      <c r="C35" s="2" t="str">
        <f t="shared" si="0"/>
        <v>Brogues</v>
      </c>
      <c r="D35" s="4" t="s">
        <v>33</v>
      </c>
      <c r="E35" s="2" t="str">
        <f t="shared" si="1"/>
        <v>Formal</v>
      </c>
      <c r="F35" s="4" t="s">
        <v>9</v>
      </c>
      <c r="G35" s="4" t="s">
        <v>49</v>
      </c>
      <c r="H35" s="4" t="str">
        <f>PROPER(Shoe_Sales[[#This Row],[Brand]])</f>
        <v>Nike</v>
      </c>
      <c r="I35" s="4" t="s">
        <v>46</v>
      </c>
      <c r="J35" s="5">
        <v>10</v>
      </c>
      <c r="K35" s="4" t="s">
        <v>79</v>
      </c>
      <c r="L35" s="12">
        <f>VLOOKUP(Shoe_Sales[[#This Row],[Product Cleaned]],Price!$A$2:$C$9,2,FALSE)</f>
        <v>112</v>
      </c>
      <c r="M35" s="12">
        <f>VLOOKUP(Shoe_Sales[[#This Row],[Product Cleaned]],Price!$A$2:$C$9,3,0)</f>
        <v>64</v>
      </c>
      <c r="N35" s="12">
        <f>(Shoe_Sales[[#This Row],[Quantity]]*Shoe_Sales[[#This Row],[Selling Price]])</f>
        <v>1120</v>
      </c>
      <c r="O35" s="12">
        <f>(Shoe_Sales[[#This Row],[Quantity]]*Shoe_Sales[[#This Row],[Cost Price]])</f>
        <v>640</v>
      </c>
      <c r="P35" s="12">
        <f>(Shoe_Sales[[#This Row],[Revenue]]-Shoe_Sales[[#This Row],[Cost]])</f>
        <v>480</v>
      </c>
      <c r="Q35" s="15">
        <f>(Shoe_Sales[[#This Row],[Profit]]/Shoe_Sales[[#This Row],[Revenue]])</f>
        <v>0.42857142857142855</v>
      </c>
    </row>
    <row r="36" spans="1:17" x14ac:dyDescent="0.25">
      <c r="A36" s="8">
        <v>46132</v>
      </c>
      <c r="B36" s="2" t="s">
        <v>63</v>
      </c>
      <c r="C36" s="2" t="str">
        <f t="shared" si="0"/>
        <v>Monk Straps</v>
      </c>
      <c r="D36" s="2" t="s">
        <v>48</v>
      </c>
      <c r="E36" s="2" t="str">
        <f t="shared" si="1"/>
        <v>Open</v>
      </c>
      <c r="F36" s="2" t="s">
        <v>29</v>
      </c>
      <c r="G36" s="2" t="s">
        <v>49</v>
      </c>
      <c r="H36" s="2" t="str">
        <f>PROPER(Shoe_Sales[[#This Row],[Brand]])</f>
        <v>Nike</v>
      </c>
      <c r="I36" s="2" t="s">
        <v>58</v>
      </c>
      <c r="J36" s="3">
        <v>7</v>
      </c>
      <c r="K36" s="2" t="s">
        <v>79</v>
      </c>
      <c r="L36" s="12">
        <f>VLOOKUP(Shoe_Sales[[#This Row],[Product Cleaned]],Price!$A$2:$C$9,2,FALSE)</f>
        <v>89</v>
      </c>
      <c r="M36" s="12">
        <f>VLOOKUP(Shoe_Sales[[#This Row],[Product Cleaned]],Price!$A$2:$C$9,3,0)</f>
        <v>47</v>
      </c>
      <c r="N36" s="12">
        <f>(Shoe_Sales[[#This Row],[Quantity]]*Shoe_Sales[[#This Row],[Selling Price]])</f>
        <v>623</v>
      </c>
      <c r="O36" s="12">
        <f>(Shoe_Sales[[#This Row],[Quantity]]*Shoe_Sales[[#This Row],[Cost Price]])</f>
        <v>329</v>
      </c>
      <c r="P36" s="12">
        <f>(Shoe_Sales[[#This Row],[Revenue]]-Shoe_Sales[[#This Row],[Cost]])</f>
        <v>294</v>
      </c>
      <c r="Q36" s="15">
        <f>(Shoe_Sales[[#This Row],[Profit]]/Shoe_Sales[[#This Row],[Revenue]])</f>
        <v>0.47191011235955055</v>
      </c>
    </row>
    <row r="37" spans="1:17" x14ac:dyDescent="0.25">
      <c r="A37" s="9">
        <v>46228</v>
      </c>
      <c r="B37" s="4" t="s">
        <v>55</v>
      </c>
      <c r="C37" s="2" t="str">
        <f t="shared" si="0"/>
        <v>Boots</v>
      </c>
      <c r="D37" s="4" t="s">
        <v>33</v>
      </c>
      <c r="E37" s="2" t="str">
        <f t="shared" si="1"/>
        <v>Formal</v>
      </c>
      <c r="F37" s="4" t="s">
        <v>19</v>
      </c>
      <c r="G37" s="4" t="s">
        <v>30</v>
      </c>
      <c r="H37" s="4" t="str">
        <f>PROPER(Shoe_Sales[[#This Row],[Brand]])</f>
        <v>Timberland</v>
      </c>
      <c r="I37" s="4" t="s">
        <v>54</v>
      </c>
      <c r="J37" s="5">
        <v>5</v>
      </c>
      <c r="K37" s="4" t="s">
        <v>80</v>
      </c>
      <c r="L37" s="12">
        <f>VLOOKUP(Shoe_Sales[[#This Row],[Product Cleaned]],Price!$A$2:$C$9,2,FALSE)</f>
        <v>76</v>
      </c>
      <c r="M37" s="12">
        <f>VLOOKUP(Shoe_Sales[[#This Row],[Product Cleaned]],Price!$A$2:$C$9,3,0)</f>
        <v>39</v>
      </c>
      <c r="N37" s="12">
        <f>(Shoe_Sales[[#This Row],[Quantity]]*Shoe_Sales[[#This Row],[Selling Price]])</f>
        <v>380</v>
      </c>
      <c r="O37" s="12">
        <f>(Shoe_Sales[[#This Row],[Quantity]]*Shoe_Sales[[#This Row],[Cost Price]])</f>
        <v>195</v>
      </c>
      <c r="P37" s="12">
        <f>(Shoe_Sales[[#This Row],[Revenue]]-Shoe_Sales[[#This Row],[Cost]])</f>
        <v>185</v>
      </c>
      <c r="Q37" s="15">
        <f>(Shoe_Sales[[#This Row],[Profit]]/Shoe_Sales[[#This Row],[Revenue]])</f>
        <v>0.48684210526315791</v>
      </c>
    </row>
    <row r="38" spans="1:17" x14ac:dyDescent="0.25">
      <c r="A38" s="8">
        <v>46176</v>
      </c>
      <c r="B38" s="2" t="s">
        <v>71</v>
      </c>
      <c r="C38" s="2" t="str">
        <f t="shared" si="0"/>
        <v>Boots</v>
      </c>
      <c r="D38" s="2" t="s">
        <v>8</v>
      </c>
      <c r="E38" s="2" t="str">
        <f t="shared" si="1"/>
        <v>Formal</v>
      </c>
      <c r="F38" s="2" t="s">
        <v>19</v>
      </c>
      <c r="G38" s="2" t="s">
        <v>10</v>
      </c>
      <c r="H38" s="2" t="str">
        <f>PROPER(Shoe_Sales[[#This Row],[Brand]])</f>
        <v>Clarks</v>
      </c>
      <c r="I38" s="2" t="s">
        <v>37</v>
      </c>
      <c r="J38" s="3">
        <v>11</v>
      </c>
      <c r="K38" s="2" t="s">
        <v>79</v>
      </c>
      <c r="L38" s="12">
        <f>VLOOKUP(Shoe_Sales[[#This Row],[Product Cleaned]],Price!$A$2:$C$9,2,FALSE)</f>
        <v>76</v>
      </c>
      <c r="M38" s="12">
        <f>VLOOKUP(Shoe_Sales[[#This Row],[Product Cleaned]],Price!$A$2:$C$9,3,0)</f>
        <v>39</v>
      </c>
      <c r="N38" s="12">
        <f>(Shoe_Sales[[#This Row],[Quantity]]*Shoe_Sales[[#This Row],[Selling Price]])</f>
        <v>836</v>
      </c>
      <c r="O38" s="12">
        <f>(Shoe_Sales[[#This Row],[Quantity]]*Shoe_Sales[[#This Row],[Cost Price]])</f>
        <v>429</v>
      </c>
      <c r="P38" s="12">
        <f>(Shoe_Sales[[#This Row],[Revenue]]-Shoe_Sales[[#This Row],[Cost]])</f>
        <v>407</v>
      </c>
      <c r="Q38" s="15">
        <f>(Shoe_Sales[[#This Row],[Profit]]/Shoe_Sales[[#This Row],[Revenue]])</f>
        <v>0.48684210526315791</v>
      </c>
    </row>
    <row r="39" spans="1:17" x14ac:dyDescent="0.25">
      <c r="A39" s="9">
        <v>46226</v>
      </c>
      <c r="B39" s="4" t="s">
        <v>67</v>
      </c>
      <c r="C39" s="2" t="str">
        <f t="shared" si="0"/>
        <v>Slippers</v>
      </c>
      <c r="D39" s="4" t="s">
        <v>23</v>
      </c>
      <c r="E39" s="2" t="str">
        <f t="shared" si="1"/>
        <v>Casual</v>
      </c>
      <c r="F39" s="4" t="s">
        <v>19</v>
      </c>
      <c r="G39" s="4" t="s">
        <v>40</v>
      </c>
      <c r="H39" s="4" t="str">
        <f>PROPER(Shoe_Sales[[#This Row],[Brand]])</f>
        <v>Zara</v>
      </c>
      <c r="I39" s="4" t="s">
        <v>61</v>
      </c>
      <c r="J39" s="5">
        <v>10</v>
      </c>
      <c r="K39" s="4" t="s">
        <v>79</v>
      </c>
      <c r="L39" s="12">
        <f>VLOOKUP(Shoe_Sales[[#This Row],[Product Cleaned]],Price!$A$2:$C$9,2,FALSE)</f>
        <v>119</v>
      </c>
      <c r="M39" s="12">
        <f>VLOOKUP(Shoe_Sales[[#This Row],[Product Cleaned]],Price!$A$2:$C$9,3,0)</f>
        <v>67</v>
      </c>
      <c r="N39" s="12">
        <f>(Shoe_Sales[[#This Row],[Quantity]]*Shoe_Sales[[#This Row],[Selling Price]])</f>
        <v>1190</v>
      </c>
      <c r="O39" s="12">
        <f>(Shoe_Sales[[#This Row],[Quantity]]*Shoe_Sales[[#This Row],[Cost Price]])</f>
        <v>670</v>
      </c>
      <c r="P39" s="12">
        <f>(Shoe_Sales[[#This Row],[Revenue]]-Shoe_Sales[[#This Row],[Cost]])</f>
        <v>520</v>
      </c>
      <c r="Q39" s="15">
        <f>(Shoe_Sales[[#This Row],[Profit]]/Shoe_Sales[[#This Row],[Revenue]])</f>
        <v>0.43697478991596639</v>
      </c>
    </row>
    <row r="40" spans="1:17" x14ac:dyDescent="0.25">
      <c r="A40" s="8">
        <v>46228</v>
      </c>
      <c r="B40" s="2" t="s">
        <v>22</v>
      </c>
      <c r="C40" s="2" t="str">
        <f t="shared" si="0"/>
        <v>Loafers</v>
      </c>
      <c r="D40" s="2" t="s">
        <v>48</v>
      </c>
      <c r="E40" s="2" t="str">
        <f t="shared" si="1"/>
        <v>Open</v>
      </c>
      <c r="F40" s="2" t="s">
        <v>29</v>
      </c>
      <c r="G40" s="2" t="s">
        <v>34</v>
      </c>
      <c r="H40" s="2" t="str">
        <f>PROPER(Shoe_Sales[[#This Row],[Brand]])</f>
        <v>Clarks</v>
      </c>
      <c r="I40" s="2" t="s">
        <v>31</v>
      </c>
      <c r="J40" s="3">
        <v>10</v>
      </c>
      <c r="K40" s="2" t="s">
        <v>82</v>
      </c>
      <c r="L40" s="12">
        <f>VLOOKUP(Shoe_Sales[[#This Row],[Product Cleaned]],Price!$A$2:$C$9,2,FALSE)</f>
        <v>54</v>
      </c>
      <c r="M40" s="12">
        <f>VLOOKUP(Shoe_Sales[[#This Row],[Product Cleaned]],Price!$A$2:$C$9,3,0)</f>
        <v>28</v>
      </c>
      <c r="N40" s="12">
        <f>(Shoe_Sales[[#This Row],[Quantity]]*Shoe_Sales[[#This Row],[Selling Price]])</f>
        <v>540</v>
      </c>
      <c r="O40" s="12">
        <f>(Shoe_Sales[[#This Row],[Quantity]]*Shoe_Sales[[#This Row],[Cost Price]])</f>
        <v>280</v>
      </c>
      <c r="P40" s="12">
        <f>(Shoe_Sales[[#This Row],[Revenue]]-Shoe_Sales[[#This Row],[Cost]])</f>
        <v>260</v>
      </c>
      <c r="Q40" s="15">
        <f>(Shoe_Sales[[#This Row],[Profit]]/Shoe_Sales[[#This Row],[Revenue]])</f>
        <v>0.48148148148148145</v>
      </c>
    </row>
    <row r="41" spans="1:17" x14ac:dyDescent="0.25">
      <c r="A41" s="9">
        <v>46176</v>
      </c>
      <c r="B41" s="4" t="s">
        <v>59</v>
      </c>
      <c r="C41" s="2" t="str">
        <f t="shared" si="0"/>
        <v>Oxford</v>
      </c>
      <c r="D41" s="4" t="s">
        <v>39</v>
      </c>
      <c r="E41" s="2" t="str">
        <f t="shared" si="1"/>
        <v>Formal</v>
      </c>
      <c r="F41" s="4" t="s">
        <v>19</v>
      </c>
      <c r="G41" s="4" t="s">
        <v>66</v>
      </c>
      <c r="H41" s="4" t="str">
        <f>PROPER(Shoe_Sales[[#This Row],[Brand]])</f>
        <v>Steve Madden</v>
      </c>
      <c r="I41" s="4" t="s">
        <v>41</v>
      </c>
      <c r="J41" s="5">
        <v>13</v>
      </c>
      <c r="K41" s="4" t="s">
        <v>79</v>
      </c>
      <c r="L41" s="12">
        <f>VLOOKUP(Shoe_Sales[[#This Row],[Product Cleaned]],Price!$A$2:$C$9,2,FALSE)</f>
        <v>105</v>
      </c>
      <c r="M41" s="12">
        <f>VLOOKUP(Shoe_Sales[[#This Row],[Product Cleaned]],Price!$A$2:$C$9,3,0)</f>
        <v>58</v>
      </c>
      <c r="N41" s="12">
        <f>(Shoe_Sales[[#This Row],[Quantity]]*Shoe_Sales[[#This Row],[Selling Price]])</f>
        <v>1365</v>
      </c>
      <c r="O41" s="12">
        <f>(Shoe_Sales[[#This Row],[Quantity]]*Shoe_Sales[[#This Row],[Cost Price]])</f>
        <v>754</v>
      </c>
      <c r="P41" s="12">
        <f>(Shoe_Sales[[#This Row],[Revenue]]-Shoe_Sales[[#This Row],[Cost]])</f>
        <v>611</v>
      </c>
      <c r="Q41" s="15">
        <f>(Shoe_Sales[[#This Row],[Profit]]/Shoe_Sales[[#This Row],[Revenue]])</f>
        <v>0.44761904761904764</v>
      </c>
    </row>
    <row r="42" spans="1:17" x14ac:dyDescent="0.25">
      <c r="A42" s="8">
        <v>46090</v>
      </c>
      <c r="B42" s="2" t="s">
        <v>36</v>
      </c>
      <c r="C42" s="2" t="str">
        <f t="shared" si="0"/>
        <v>Brogues</v>
      </c>
      <c r="D42" s="2" t="s">
        <v>33</v>
      </c>
      <c r="E42" s="2" t="str">
        <f t="shared" si="1"/>
        <v>Formal</v>
      </c>
      <c r="F42" s="2" t="s">
        <v>24</v>
      </c>
      <c r="G42" s="2" t="s">
        <v>60</v>
      </c>
      <c r="H42" s="2" t="str">
        <f>PROPER(Shoe_Sales[[#This Row],[Brand]])</f>
        <v>Clarks</v>
      </c>
      <c r="I42" s="2" t="s">
        <v>31</v>
      </c>
      <c r="J42" s="3">
        <v>7</v>
      </c>
      <c r="K42" s="2" t="s">
        <v>81</v>
      </c>
      <c r="L42" s="12">
        <f>VLOOKUP(Shoe_Sales[[#This Row],[Product Cleaned]],Price!$A$2:$C$9,2,FALSE)</f>
        <v>112</v>
      </c>
      <c r="M42" s="12">
        <f>VLOOKUP(Shoe_Sales[[#This Row],[Product Cleaned]],Price!$A$2:$C$9,3,0)</f>
        <v>64</v>
      </c>
      <c r="N42" s="12">
        <f>(Shoe_Sales[[#This Row],[Quantity]]*Shoe_Sales[[#This Row],[Selling Price]])</f>
        <v>784</v>
      </c>
      <c r="O42" s="12">
        <f>(Shoe_Sales[[#This Row],[Quantity]]*Shoe_Sales[[#This Row],[Cost Price]])</f>
        <v>448</v>
      </c>
      <c r="P42" s="12">
        <f>(Shoe_Sales[[#This Row],[Revenue]]-Shoe_Sales[[#This Row],[Cost]])</f>
        <v>336</v>
      </c>
      <c r="Q42" s="15">
        <f>(Shoe_Sales[[#This Row],[Profit]]/Shoe_Sales[[#This Row],[Revenue]])</f>
        <v>0.42857142857142855</v>
      </c>
    </row>
    <row r="43" spans="1:17" x14ac:dyDescent="0.25">
      <c r="A43" s="9">
        <v>46072</v>
      </c>
      <c r="B43" s="4" t="s">
        <v>71</v>
      </c>
      <c r="C43" s="2" t="str">
        <f t="shared" si="0"/>
        <v>Boots</v>
      </c>
      <c r="D43" s="4" t="s">
        <v>18</v>
      </c>
      <c r="E43" s="2" t="str">
        <f t="shared" si="1"/>
        <v>Open</v>
      </c>
      <c r="F43" s="4" t="s">
        <v>29</v>
      </c>
      <c r="G43" s="4" t="s">
        <v>69</v>
      </c>
      <c r="H43" s="4" t="str">
        <f>PROPER(Shoe_Sales[[#This Row],[Brand]])</f>
        <v>Nike</v>
      </c>
      <c r="I43" s="4" t="s">
        <v>11</v>
      </c>
      <c r="J43" s="5">
        <v>14</v>
      </c>
      <c r="K43" s="4" t="s">
        <v>81</v>
      </c>
      <c r="L43" s="12">
        <f>VLOOKUP(Shoe_Sales[[#This Row],[Product Cleaned]],Price!$A$2:$C$9,2,FALSE)</f>
        <v>76</v>
      </c>
      <c r="M43" s="12">
        <f>VLOOKUP(Shoe_Sales[[#This Row],[Product Cleaned]],Price!$A$2:$C$9,3,0)</f>
        <v>39</v>
      </c>
      <c r="N43" s="12">
        <f>(Shoe_Sales[[#This Row],[Quantity]]*Shoe_Sales[[#This Row],[Selling Price]])</f>
        <v>1064</v>
      </c>
      <c r="O43" s="12">
        <f>(Shoe_Sales[[#This Row],[Quantity]]*Shoe_Sales[[#This Row],[Cost Price]])</f>
        <v>546</v>
      </c>
      <c r="P43" s="12">
        <f>(Shoe_Sales[[#This Row],[Revenue]]-Shoe_Sales[[#This Row],[Cost]])</f>
        <v>518</v>
      </c>
      <c r="Q43" s="15">
        <f>(Shoe_Sales[[#This Row],[Profit]]/Shoe_Sales[[#This Row],[Revenue]])</f>
        <v>0.48684210526315791</v>
      </c>
    </row>
    <row r="44" spans="1:17" x14ac:dyDescent="0.25">
      <c r="A44" s="8">
        <v>46220</v>
      </c>
      <c r="B44" s="2" t="s">
        <v>59</v>
      </c>
      <c r="C44" s="2" t="str">
        <f t="shared" si="0"/>
        <v>Oxford</v>
      </c>
      <c r="D44" s="2" t="s">
        <v>68</v>
      </c>
      <c r="E44" s="2" t="str">
        <f t="shared" si="1"/>
        <v>Open</v>
      </c>
      <c r="F44" s="2" t="s">
        <v>29</v>
      </c>
      <c r="G44" s="2" t="s">
        <v>34</v>
      </c>
      <c r="H44" s="2" t="str">
        <f>PROPER(Shoe_Sales[[#This Row],[Brand]])</f>
        <v>Clarks</v>
      </c>
      <c r="I44" s="2" t="s">
        <v>21</v>
      </c>
      <c r="J44" s="3">
        <v>13</v>
      </c>
      <c r="K44" s="2" t="s">
        <v>82</v>
      </c>
      <c r="L44" s="12">
        <f>VLOOKUP(Shoe_Sales[[#This Row],[Product Cleaned]],Price!$A$2:$C$9,2,FALSE)</f>
        <v>105</v>
      </c>
      <c r="M44" s="12">
        <f>VLOOKUP(Shoe_Sales[[#This Row],[Product Cleaned]],Price!$A$2:$C$9,3,0)</f>
        <v>58</v>
      </c>
      <c r="N44" s="12">
        <f>(Shoe_Sales[[#This Row],[Quantity]]*Shoe_Sales[[#This Row],[Selling Price]])</f>
        <v>1365</v>
      </c>
      <c r="O44" s="12">
        <f>(Shoe_Sales[[#This Row],[Quantity]]*Shoe_Sales[[#This Row],[Cost Price]])</f>
        <v>754</v>
      </c>
      <c r="P44" s="12">
        <f>(Shoe_Sales[[#This Row],[Revenue]]-Shoe_Sales[[#This Row],[Cost]])</f>
        <v>611</v>
      </c>
      <c r="Q44" s="15">
        <f>(Shoe_Sales[[#This Row],[Profit]]/Shoe_Sales[[#This Row],[Revenue]])</f>
        <v>0.44761904761904764</v>
      </c>
    </row>
    <row r="45" spans="1:17" x14ac:dyDescent="0.25">
      <c r="A45" s="9">
        <v>46127</v>
      </c>
      <c r="B45" s="4" t="s">
        <v>51</v>
      </c>
      <c r="C45" s="2" t="str">
        <f t="shared" si="0"/>
        <v>Loafers</v>
      </c>
      <c r="D45" s="4" t="s">
        <v>48</v>
      </c>
      <c r="E45" s="2" t="str">
        <f t="shared" si="1"/>
        <v>Open</v>
      </c>
      <c r="F45" s="4" t="s">
        <v>19</v>
      </c>
      <c r="G45" s="4" t="s">
        <v>69</v>
      </c>
      <c r="H45" s="4" t="str">
        <f>PROPER(Shoe_Sales[[#This Row],[Brand]])</f>
        <v>Nike</v>
      </c>
      <c r="I45" s="4" t="s">
        <v>58</v>
      </c>
      <c r="J45" s="5">
        <v>3</v>
      </c>
      <c r="K45" s="4" t="s">
        <v>80</v>
      </c>
      <c r="L45" s="12">
        <f>VLOOKUP(Shoe_Sales[[#This Row],[Product Cleaned]],Price!$A$2:$C$9,2,FALSE)</f>
        <v>54</v>
      </c>
      <c r="M45" s="12">
        <f>VLOOKUP(Shoe_Sales[[#This Row],[Product Cleaned]],Price!$A$2:$C$9,3,0)</f>
        <v>28</v>
      </c>
      <c r="N45" s="12">
        <f>(Shoe_Sales[[#This Row],[Quantity]]*Shoe_Sales[[#This Row],[Selling Price]])</f>
        <v>162</v>
      </c>
      <c r="O45" s="12">
        <f>(Shoe_Sales[[#This Row],[Quantity]]*Shoe_Sales[[#This Row],[Cost Price]])</f>
        <v>84</v>
      </c>
      <c r="P45" s="12">
        <f>(Shoe_Sales[[#This Row],[Revenue]]-Shoe_Sales[[#This Row],[Cost]])</f>
        <v>78</v>
      </c>
      <c r="Q45" s="15">
        <f>(Shoe_Sales[[#This Row],[Profit]]/Shoe_Sales[[#This Row],[Revenue]])</f>
        <v>0.48148148148148145</v>
      </c>
    </row>
    <row r="46" spans="1:17" x14ac:dyDescent="0.25">
      <c r="A46" s="8">
        <v>46131</v>
      </c>
      <c r="B46" s="2" t="s">
        <v>71</v>
      </c>
      <c r="C46" s="2" t="str">
        <f t="shared" si="0"/>
        <v>Boots</v>
      </c>
      <c r="D46" s="2" t="s">
        <v>33</v>
      </c>
      <c r="E46" s="2" t="str">
        <f t="shared" si="1"/>
        <v>Formal</v>
      </c>
      <c r="F46" s="2" t="s">
        <v>29</v>
      </c>
      <c r="G46" s="2" t="s">
        <v>15</v>
      </c>
      <c r="H46" s="2" t="str">
        <f>PROPER(Shoe_Sales[[#This Row],[Brand]])</f>
        <v>Steve Madden</v>
      </c>
      <c r="I46" s="2" t="s">
        <v>26</v>
      </c>
      <c r="J46" s="3">
        <v>1</v>
      </c>
      <c r="K46" s="2" t="s">
        <v>79</v>
      </c>
      <c r="L46" s="12">
        <f>VLOOKUP(Shoe_Sales[[#This Row],[Product Cleaned]],Price!$A$2:$C$9,2,FALSE)</f>
        <v>76</v>
      </c>
      <c r="M46" s="12">
        <f>VLOOKUP(Shoe_Sales[[#This Row],[Product Cleaned]],Price!$A$2:$C$9,3,0)</f>
        <v>39</v>
      </c>
      <c r="N46" s="12">
        <f>(Shoe_Sales[[#This Row],[Quantity]]*Shoe_Sales[[#This Row],[Selling Price]])</f>
        <v>76</v>
      </c>
      <c r="O46" s="12">
        <f>(Shoe_Sales[[#This Row],[Quantity]]*Shoe_Sales[[#This Row],[Cost Price]])</f>
        <v>39</v>
      </c>
      <c r="P46" s="12">
        <f>(Shoe_Sales[[#This Row],[Revenue]]-Shoe_Sales[[#This Row],[Cost]])</f>
        <v>37</v>
      </c>
      <c r="Q46" s="15">
        <f>(Shoe_Sales[[#This Row],[Profit]]/Shoe_Sales[[#This Row],[Revenue]])</f>
        <v>0.48684210526315791</v>
      </c>
    </row>
    <row r="47" spans="1:17" x14ac:dyDescent="0.25">
      <c r="A47" s="9">
        <v>46165</v>
      </c>
      <c r="B47" s="4" t="s">
        <v>75</v>
      </c>
      <c r="C47" s="2" t="str">
        <f t="shared" si="0"/>
        <v>Brogues</v>
      </c>
      <c r="D47" s="4" t="s">
        <v>39</v>
      </c>
      <c r="E47" s="2" t="str">
        <f t="shared" si="1"/>
        <v>Formal</v>
      </c>
      <c r="F47" s="4" t="s">
        <v>19</v>
      </c>
      <c r="G47" s="4" t="s">
        <v>34</v>
      </c>
      <c r="H47" s="4" t="str">
        <f>PROPER(Shoe_Sales[[#This Row],[Brand]])</f>
        <v>Clarks</v>
      </c>
      <c r="I47" s="4" t="s">
        <v>41</v>
      </c>
      <c r="J47" s="5">
        <v>9</v>
      </c>
      <c r="K47" s="4" t="s">
        <v>82</v>
      </c>
      <c r="L47" s="12">
        <f>VLOOKUP(Shoe_Sales[[#This Row],[Product Cleaned]],Price!$A$2:$C$9,2,FALSE)</f>
        <v>112</v>
      </c>
      <c r="M47" s="12">
        <f>VLOOKUP(Shoe_Sales[[#This Row],[Product Cleaned]],Price!$A$2:$C$9,3,0)</f>
        <v>64</v>
      </c>
      <c r="N47" s="12">
        <f>(Shoe_Sales[[#This Row],[Quantity]]*Shoe_Sales[[#This Row],[Selling Price]])</f>
        <v>1008</v>
      </c>
      <c r="O47" s="12">
        <f>(Shoe_Sales[[#This Row],[Quantity]]*Shoe_Sales[[#This Row],[Cost Price]])</f>
        <v>576</v>
      </c>
      <c r="P47" s="12">
        <f>(Shoe_Sales[[#This Row],[Revenue]]-Shoe_Sales[[#This Row],[Cost]])</f>
        <v>432</v>
      </c>
      <c r="Q47" s="15">
        <f>(Shoe_Sales[[#This Row],[Profit]]/Shoe_Sales[[#This Row],[Revenue]])</f>
        <v>0.42857142857142855</v>
      </c>
    </row>
    <row r="48" spans="1:17" x14ac:dyDescent="0.25">
      <c r="A48" s="8">
        <v>46237</v>
      </c>
      <c r="B48" s="2" t="s">
        <v>71</v>
      </c>
      <c r="C48" s="2" t="str">
        <f t="shared" si="0"/>
        <v>Boots</v>
      </c>
      <c r="D48" s="2" t="s">
        <v>8</v>
      </c>
      <c r="E48" s="2" t="str">
        <f t="shared" si="1"/>
        <v>Formal</v>
      </c>
      <c r="F48" s="2" t="s">
        <v>29</v>
      </c>
      <c r="G48" s="2" t="s">
        <v>40</v>
      </c>
      <c r="H48" s="2" t="str">
        <f>PROPER(Shoe_Sales[[#This Row],[Brand]])</f>
        <v>Zara</v>
      </c>
      <c r="I48" s="2" t="s">
        <v>43</v>
      </c>
      <c r="J48" s="3">
        <v>5</v>
      </c>
      <c r="K48" s="2" t="s">
        <v>82</v>
      </c>
      <c r="L48" s="12">
        <f>VLOOKUP(Shoe_Sales[[#This Row],[Product Cleaned]],Price!$A$2:$C$9,2,FALSE)</f>
        <v>76</v>
      </c>
      <c r="M48" s="12">
        <f>VLOOKUP(Shoe_Sales[[#This Row],[Product Cleaned]],Price!$A$2:$C$9,3,0)</f>
        <v>39</v>
      </c>
      <c r="N48" s="12">
        <f>(Shoe_Sales[[#This Row],[Quantity]]*Shoe_Sales[[#This Row],[Selling Price]])</f>
        <v>380</v>
      </c>
      <c r="O48" s="12">
        <f>(Shoe_Sales[[#This Row],[Quantity]]*Shoe_Sales[[#This Row],[Cost Price]])</f>
        <v>195</v>
      </c>
      <c r="P48" s="12">
        <f>(Shoe_Sales[[#This Row],[Revenue]]-Shoe_Sales[[#This Row],[Cost]])</f>
        <v>185</v>
      </c>
      <c r="Q48" s="15">
        <f>(Shoe_Sales[[#This Row],[Profit]]/Shoe_Sales[[#This Row],[Revenue]])</f>
        <v>0.48684210526315791</v>
      </c>
    </row>
    <row r="49" spans="1:17" x14ac:dyDescent="0.25">
      <c r="A49" s="9">
        <v>46086</v>
      </c>
      <c r="B49" s="4" t="s">
        <v>59</v>
      </c>
      <c r="C49" s="2" t="str">
        <f t="shared" si="0"/>
        <v>Oxford</v>
      </c>
      <c r="D49" s="4" t="s">
        <v>23</v>
      </c>
      <c r="E49" s="2" t="str">
        <f t="shared" si="1"/>
        <v>Casual</v>
      </c>
      <c r="F49" s="4" t="s">
        <v>9</v>
      </c>
      <c r="G49" s="4" t="s">
        <v>20</v>
      </c>
      <c r="H49" s="4" t="str">
        <f>PROPER(Shoe_Sales[[#This Row],[Brand]])</f>
        <v>Nike</v>
      </c>
      <c r="I49" s="4" t="s">
        <v>31</v>
      </c>
      <c r="J49" s="5">
        <v>11</v>
      </c>
      <c r="K49" s="4" t="s">
        <v>82</v>
      </c>
      <c r="L49" s="12">
        <f>VLOOKUP(Shoe_Sales[[#This Row],[Product Cleaned]],Price!$A$2:$C$9,2,FALSE)</f>
        <v>105</v>
      </c>
      <c r="M49" s="12">
        <f>VLOOKUP(Shoe_Sales[[#This Row],[Product Cleaned]],Price!$A$2:$C$9,3,0)</f>
        <v>58</v>
      </c>
      <c r="N49" s="12">
        <f>(Shoe_Sales[[#This Row],[Quantity]]*Shoe_Sales[[#This Row],[Selling Price]])</f>
        <v>1155</v>
      </c>
      <c r="O49" s="12">
        <f>(Shoe_Sales[[#This Row],[Quantity]]*Shoe_Sales[[#This Row],[Cost Price]])</f>
        <v>638</v>
      </c>
      <c r="P49" s="12">
        <f>(Shoe_Sales[[#This Row],[Revenue]]-Shoe_Sales[[#This Row],[Cost]])</f>
        <v>517</v>
      </c>
      <c r="Q49" s="15">
        <f>(Shoe_Sales[[#This Row],[Profit]]/Shoe_Sales[[#This Row],[Revenue]])</f>
        <v>0.44761904761904764</v>
      </c>
    </row>
    <row r="50" spans="1:17" x14ac:dyDescent="0.25">
      <c r="A50" s="8">
        <v>46110</v>
      </c>
      <c r="B50" s="2" t="s">
        <v>70</v>
      </c>
      <c r="C50" s="2" t="str">
        <f t="shared" si="0"/>
        <v>Loafers</v>
      </c>
      <c r="D50" s="2" t="s">
        <v>33</v>
      </c>
      <c r="E50" s="2" t="str">
        <f t="shared" si="1"/>
        <v>Formal</v>
      </c>
      <c r="F50" s="2" t="s">
        <v>9</v>
      </c>
      <c r="G50" s="2" t="s">
        <v>40</v>
      </c>
      <c r="H50" s="2" t="str">
        <f>PROPER(Shoe_Sales[[#This Row],[Brand]])</f>
        <v>Zara</v>
      </c>
      <c r="I50" s="2" t="s">
        <v>31</v>
      </c>
      <c r="J50" s="3">
        <v>6</v>
      </c>
      <c r="K50" s="2" t="s">
        <v>80</v>
      </c>
      <c r="L50" s="12">
        <f>VLOOKUP(Shoe_Sales[[#This Row],[Product Cleaned]],Price!$A$2:$C$9,2,FALSE)</f>
        <v>54</v>
      </c>
      <c r="M50" s="12">
        <f>VLOOKUP(Shoe_Sales[[#This Row],[Product Cleaned]],Price!$A$2:$C$9,3,0)</f>
        <v>28</v>
      </c>
      <c r="N50" s="12">
        <f>(Shoe_Sales[[#This Row],[Quantity]]*Shoe_Sales[[#This Row],[Selling Price]])</f>
        <v>324</v>
      </c>
      <c r="O50" s="12">
        <f>(Shoe_Sales[[#This Row],[Quantity]]*Shoe_Sales[[#This Row],[Cost Price]])</f>
        <v>168</v>
      </c>
      <c r="P50" s="12">
        <f>(Shoe_Sales[[#This Row],[Revenue]]-Shoe_Sales[[#This Row],[Cost]])</f>
        <v>156</v>
      </c>
      <c r="Q50" s="15">
        <f>(Shoe_Sales[[#This Row],[Profit]]/Shoe_Sales[[#This Row],[Revenue]])</f>
        <v>0.48148148148148145</v>
      </c>
    </row>
    <row r="51" spans="1:17" x14ac:dyDescent="0.25">
      <c r="A51" s="9">
        <v>46200</v>
      </c>
      <c r="B51" s="4" t="s">
        <v>27</v>
      </c>
      <c r="C51" s="2" t="str">
        <f t="shared" si="0"/>
        <v>Boots</v>
      </c>
      <c r="D51" s="4" t="s">
        <v>56</v>
      </c>
      <c r="E51" s="2" t="str">
        <f t="shared" si="1"/>
        <v>Utility</v>
      </c>
      <c r="F51" s="4" t="s">
        <v>24</v>
      </c>
      <c r="G51" s="4" t="s">
        <v>40</v>
      </c>
      <c r="H51" s="4" t="str">
        <f>PROPER(Shoe_Sales[[#This Row],[Brand]])</f>
        <v>Zara</v>
      </c>
      <c r="I51" s="4" t="s">
        <v>35</v>
      </c>
      <c r="J51" s="5">
        <v>1</v>
      </c>
      <c r="K51" s="4" t="s">
        <v>82</v>
      </c>
      <c r="L51" s="12">
        <f>VLOOKUP(Shoe_Sales[[#This Row],[Product Cleaned]],Price!$A$2:$C$9,2,FALSE)</f>
        <v>76</v>
      </c>
      <c r="M51" s="12">
        <f>VLOOKUP(Shoe_Sales[[#This Row],[Product Cleaned]],Price!$A$2:$C$9,3,0)</f>
        <v>39</v>
      </c>
      <c r="N51" s="12">
        <f>(Shoe_Sales[[#This Row],[Quantity]]*Shoe_Sales[[#This Row],[Selling Price]])</f>
        <v>76</v>
      </c>
      <c r="O51" s="12">
        <f>(Shoe_Sales[[#This Row],[Quantity]]*Shoe_Sales[[#This Row],[Cost Price]])</f>
        <v>39</v>
      </c>
      <c r="P51" s="12">
        <f>(Shoe_Sales[[#This Row],[Revenue]]-Shoe_Sales[[#This Row],[Cost]])</f>
        <v>37</v>
      </c>
      <c r="Q51" s="15">
        <f>(Shoe_Sales[[#This Row],[Profit]]/Shoe_Sales[[#This Row],[Revenue]])</f>
        <v>0.48684210526315791</v>
      </c>
    </row>
    <row r="52" spans="1:17" x14ac:dyDescent="0.25">
      <c r="A52" s="8">
        <v>46240</v>
      </c>
      <c r="B52" s="2" t="s">
        <v>86</v>
      </c>
      <c r="C52" s="2" t="str">
        <f t="shared" si="0"/>
        <v>Canvas</v>
      </c>
      <c r="D52" s="2" t="s">
        <v>13</v>
      </c>
      <c r="E52" s="2" t="str">
        <f t="shared" si="1"/>
        <v>Casual</v>
      </c>
      <c r="F52" s="2" t="s">
        <v>19</v>
      </c>
      <c r="G52" s="2" t="s">
        <v>60</v>
      </c>
      <c r="H52" s="2" t="str">
        <f>PROPER(Shoe_Sales[[#This Row],[Brand]])</f>
        <v>Clarks</v>
      </c>
      <c r="I52" s="2" t="s">
        <v>43</v>
      </c>
      <c r="J52" s="3">
        <v>4</v>
      </c>
      <c r="K52" s="2" t="s">
        <v>79</v>
      </c>
      <c r="L52" s="12">
        <f>VLOOKUP(Shoe_Sales[[#This Row],[Product Cleaned]],Price!$A$2:$C$9,2,FALSE)</f>
        <v>128</v>
      </c>
      <c r="M52" s="12">
        <f>VLOOKUP(Shoe_Sales[[#This Row],[Product Cleaned]],Price!$A$2:$C$9,3,0)</f>
        <v>72</v>
      </c>
      <c r="N52" s="12">
        <f>(Shoe_Sales[[#This Row],[Quantity]]*Shoe_Sales[[#This Row],[Selling Price]])</f>
        <v>512</v>
      </c>
      <c r="O52" s="12">
        <f>(Shoe_Sales[[#This Row],[Quantity]]*Shoe_Sales[[#This Row],[Cost Price]])</f>
        <v>288</v>
      </c>
      <c r="P52" s="12">
        <f>(Shoe_Sales[[#This Row],[Revenue]]-Shoe_Sales[[#This Row],[Cost]])</f>
        <v>224</v>
      </c>
      <c r="Q52" s="15">
        <f>(Shoe_Sales[[#This Row],[Profit]]/Shoe_Sales[[#This Row],[Revenue]])</f>
        <v>0.4375</v>
      </c>
    </row>
    <row r="53" spans="1:17" x14ac:dyDescent="0.25">
      <c r="A53" s="9">
        <v>46051</v>
      </c>
      <c r="B53" s="4" t="s">
        <v>74</v>
      </c>
      <c r="C53" s="2" t="str">
        <f t="shared" si="0"/>
        <v>Oxford</v>
      </c>
      <c r="D53" s="4" t="s">
        <v>56</v>
      </c>
      <c r="E53" s="2" t="str">
        <f t="shared" si="1"/>
        <v>Utility</v>
      </c>
      <c r="F53" s="4" t="s">
        <v>9</v>
      </c>
      <c r="G53" s="4" t="s">
        <v>60</v>
      </c>
      <c r="H53" s="4" t="str">
        <f>PROPER(Shoe_Sales[[#This Row],[Brand]])</f>
        <v>Clarks</v>
      </c>
      <c r="I53" s="4" t="s">
        <v>37</v>
      </c>
      <c r="J53" s="5">
        <v>5</v>
      </c>
      <c r="K53" s="4" t="s">
        <v>81</v>
      </c>
      <c r="L53" s="12">
        <f>VLOOKUP(Shoe_Sales[[#This Row],[Product Cleaned]],Price!$A$2:$C$9,2,FALSE)</f>
        <v>105</v>
      </c>
      <c r="M53" s="12">
        <f>VLOOKUP(Shoe_Sales[[#This Row],[Product Cleaned]],Price!$A$2:$C$9,3,0)</f>
        <v>58</v>
      </c>
      <c r="N53" s="12">
        <f>(Shoe_Sales[[#This Row],[Quantity]]*Shoe_Sales[[#This Row],[Selling Price]])</f>
        <v>525</v>
      </c>
      <c r="O53" s="12">
        <f>(Shoe_Sales[[#This Row],[Quantity]]*Shoe_Sales[[#This Row],[Cost Price]])</f>
        <v>290</v>
      </c>
      <c r="P53" s="12">
        <f>(Shoe_Sales[[#This Row],[Revenue]]-Shoe_Sales[[#This Row],[Cost]])</f>
        <v>235</v>
      </c>
      <c r="Q53" s="15">
        <f>(Shoe_Sales[[#This Row],[Profit]]/Shoe_Sales[[#This Row],[Revenue]])</f>
        <v>0.44761904761904764</v>
      </c>
    </row>
    <row r="54" spans="1:17" x14ac:dyDescent="0.25">
      <c r="A54" s="8">
        <v>46086</v>
      </c>
      <c r="B54" s="2" t="s">
        <v>63</v>
      </c>
      <c r="C54" s="2" t="str">
        <f t="shared" si="0"/>
        <v>Monk Straps</v>
      </c>
      <c r="D54" s="2" t="s">
        <v>39</v>
      </c>
      <c r="E54" s="2" t="str">
        <f t="shared" si="1"/>
        <v>Formal</v>
      </c>
      <c r="F54" s="2" t="s">
        <v>9</v>
      </c>
      <c r="G54" s="2" t="s">
        <v>40</v>
      </c>
      <c r="H54" s="2" t="str">
        <f>PROPER(Shoe_Sales[[#This Row],[Brand]])</f>
        <v>Zara</v>
      </c>
      <c r="I54" s="2" t="s">
        <v>16</v>
      </c>
      <c r="J54" s="3">
        <v>4</v>
      </c>
      <c r="K54" s="2" t="s">
        <v>80</v>
      </c>
      <c r="L54" s="12">
        <f>VLOOKUP(Shoe_Sales[[#This Row],[Product Cleaned]],Price!$A$2:$C$9,2,FALSE)</f>
        <v>89</v>
      </c>
      <c r="M54" s="12">
        <f>VLOOKUP(Shoe_Sales[[#This Row],[Product Cleaned]],Price!$A$2:$C$9,3,0)</f>
        <v>47</v>
      </c>
      <c r="N54" s="12">
        <f>(Shoe_Sales[[#This Row],[Quantity]]*Shoe_Sales[[#This Row],[Selling Price]])</f>
        <v>356</v>
      </c>
      <c r="O54" s="12">
        <f>(Shoe_Sales[[#This Row],[Quantity]]*Shoe_Sales[[#This Row],[Cost Price]])</f>
        <v>188</v>
      </c>
      <c r="P54" s="12">
        <f>(Shoe_Sales[[#This Row],[Revenue]]-Shoe_Sales[[#This Row],[Cost]])</f>
        <v>168</v>
      </c>
      <c r="Q54" s="15">
        <f>(Shoe_Sales[[#This Row],[Profit]]/Shoe_Sales[[#This Row],[Revenue]])</f>
        <v>0.47191011235955055</v>
      </c>
    </row>
    <row r="55" spans="1:17" x14ac:dyDescent="0.25">
      <c r="A55" s="9">
        <v>46069</v>
      </c>
      <c r="B55" s="4" t="s">
        <v>36</v>
      </c>
      <c r="C55" s="2" t="str">
        <f t="shared" si="0"/>
        <v>Brogues</v>
      </c>
      <c r="D55" s="4" t="s">
        <v>33</v>
      </c>
      <c r="E55" s="2" t="str">
        <f t="shared" si="1"/>
        <v>Formal</v>
      </c>
      <c r="F55" s="4" t="s">
        <v>9</v>
      </c>
      <c r="G55" s="4" t="s">
        <v>25</v>
      </c>
      <c r="H55" s="4" t="str">
        <f>PROPER(Shoe_Sales[[#This Row],[Brand]])</f>
        <v>Zara</v>
      </c>
      <c r="I55" s="4" t="s">
        <v>11</v>
      </c>
      <c r="J55" s="5">
        <v>1</v>
      </c>
      <c r="K55" s="4" t="s">
        <v>82</v>
      </c>
      <c r="L55" s="12">
        <f>VLOOKUP(Shoe_Sales[[#This Row],[Product Cleaned]],Price!$A$2:$C$9,2,FALSE)</f>
        <v>112</v>
      </c>
      <c r="M55" s="12">
        <f>VLOOKUP(Shoe_Sales[[#This Row],[Product Cleaned]],Price!$A$2:$C$9,3,0)</f>
        <v>64</v>
      </c>
      <c r="N55" s="12">
        <f>(Shoe_Sales[[#This Row],[Quantity]]*Shoe_Sales[[#This Row],[Selling Price]])</f>
        <v>112</v>
      </c>
      <c r="O55" s="12">
        <f>(Shoe_Sales[[#This Row],[Quantity]]*Shoe_Sales[[#This Row],[Cost Price]])</f>
        <v>64</v>
      </c>
      <c r="P55" s="12">
        <f>(Shoe_Sales[[#This Row],[Revenue]]-Shoe_Sales[[#This Row],[Cost]])</f>
        <v>48</v>
      </c>
      <c r="Q55" s="15">
        <f>(Shoe_Sales[[#This Row],[Profit]]/Shoe_Sales[[#This Row],[Revenue]])</f>
        <v>0.42857142857142855</v>
      </c>
    </row>
    <row r="56" spans="1:17" x14ac:dyDescent="0.25">
      <c r="A56" s="8">
        <v>46109</v>
      </c>
      <c r="B56" s="2" t="s">
        <v>65</v>
      </c>
      <c r="C56" s="2" t="str">
        <f t="shared" si="0"/>
        <v>Canvas</v>
      </c>
      <c r="D56" s="2" t="s">
        <v>33</v>
      </c>
      <c r="E56" s="2" t="str">
        <f t="shared" si="1"/>
        <v>Formal</v>
      </c>
      <c r="F56" s="2" t="s">
        <v>19</v>
      </c>
      <c r="G56" s="2" t="s">
        <v>49</v>
      </c>
      <c r="H56" s="2" t="str">
        <f>PROPER(Shoe_Sales[[#This Row],[Brand]])</f>
        <v>Nike</v>
      </c>
      <c r="I56" s="2" t="s">
        <v>61</v>
      </c>
      <c r="J56" s="3">
        <v>4</v>
      </c>
      <c r="K56" s="2" t="s">
        <v>79</v>
      </c>
      <c r="L56" s="12">
        <f>VLOOKUP(Shoe_Sales[[#This Row],[Product Cleaned]],Price!$A$2:$C$9,2,FALSE)</f>
        <v>128</v>
      </c>
      <c r="M56" s="12">
        <f>VLOOKUP(Shoe_Sales[[#This Row],[Product Cleaned]],Price!$A$2:$C$9,3,0)</f>
        <v>72</v>
      </c>
      <c r="N56" s="12">
        <f>(Shoe_Sales[[#This Row],[Quantity]]*Shoe_Sales[[#This Row],[Selling Price]])</f>
        <v>512</v>
      </c>
      <c r="O56" s="12">
        <f>(Shoe_Sales[[#This Row],[Quantity]]*Shoe_Sales[[#This Row],[Cost Price]])</f>
        <v>288</v>
      </c>
      <c r="P56" s="12">
        <f>(Shoe_Sales[[#This Row],[Revenue]]-Shoe_Sales[[#This Row],[Cost]])</f>
        <v>224</v>
      </c>
      <c r="Q56" s="15">
        <f>(Shoe_Sales[[#This Row],[Profit]]/Shoe_Sales[[#This Row],[Revenue]])</f>
        <v>0.4375</v>
      </c>
    </row>
    <row r="57" spans="1:17" x14ac:dyDescent="0.25">
      <c r="A57" s="9">
        <v>46114</v>
      </c>
      <c r="B57" s="4" t="s">
        <v>76</v>
      </c>
      <c r="C57" s="2" t="str">
        <f t="shared" si="0"/>
        <v>Monk Straps</v>
      </c>
      <c r="D57" s="4" t="s">
        <v>23</v>
      </c>
      <c r="E57" s="2" t="str">
        <f t="shared" si="1"/>
        <v>Casual</v>
      </c>
      <c r="F57" s="4" t="s">
        <v>9</v>
      </c>
      <c r="G57" s="4" t="s">
        <v>34</v>
      </c>
      <c r="H57" s="4" t="str">
        <f>PROPER(Shoe_Sales[[#This Row],[Brand]])</f>
        <v>Clarks</v>
      </c>
      <c r="I57" s="4" t="s">
        <v>54</v>
      </c>
      <c r="J57" s="5">
        <v>5</v>
      </c>
      <c r="K57" s="4" t="s">
        <v>80</v>
      </c>
      <c r="L57" s="12">
        <f>VLOOKUP(Shoe_Sales[[#This Row],[Product Cleaned]],Price!$A$2:$C$9,2,FALSE)</f>
        <v>89</v>
      </c>
      <c r="M57" s="12">
        <f>VLOOKUP(Shoe_Sales[[#This Row],[Product Cleaned]],Price!$A$2:$C$9,3,0)</f>
        <v>47</v>
      </c>
      <c r="N57" s="12">
        <f>(Shoe_Sales[[#This Row],[Quantity]]*Shoe_Sales[[#This Row],[Selling Price]])</f>
        <v>445</v>
      </c>
      <c r="O57" s="12">
        <f>(Shoe_Sales[[#This Row],[Quantity]]*Shoe_Sales[[#This Row],[Cost Price]])</f>
        <v>235</v>
      </c>
      <c r="P57" s="12">
        <f>(Shoe_Sales[[#This Row],[Revenue]]-Shoe_Sales[[#This Row],[Cost]])</f>
        <v>210</v>
      </c>
      <c r="Q57" s="15">
        <f>(Shoe_Sales[[#This Row],[Profit]]/Shoe_Sales[[#This Row],[Revenue]])</f>
        <v>0.47191011235955055</v>
      </c>
    </row>
    <row r="58" spans="1:17" x14ac:dyDescent="0.25">
      <c r="A58" s="8">
        <v>46175</v>
      </c>
      <c r="B58" s="2" t="s">
        <v>12</v>
      </c>
      <c r="C58" s="2" t="str">
        <f t="shared" si="0"/>
        <v>Canvas</v>
      </c>
      <c r="D58" s="2" t="s">
        <v>68</v>
      </c>
      <c r="E58" s="2" t="str">
        <f t="shared" si="1"/>
        <v>Open</v>
      </c>
      <c r="F58" s="2" t="s">
        <v>9</v>
      </c>
      <c r="G58" s="2" t="s">
        <v>66</v>
      </c>
      <c r="H58" s="2" t="str">
        <f>PROPER(Shoe_Sales[[#This Row],[Brand]])</f>
        <v>Steve Madden</v>
      </c>
      <c r="I58" s="2" t="s">
        <v>46</v>
      </c>
      <c r="J58" s="3">
        <v>2</v>
      </c>
      <c r="K58" s="2" t="s">
        <v>81</v>
      </c>
      <c r="L58" s="12">
        <f>VLOOKUP(Shoe_Sales[[#This Row],[Product Cleaned]],Price!$A$2:$C$9,2,FALSE)</f>
        <v>128</v>
      </c>
      <c r="M58" s="12">
        <f>VLOOKUP(Shoe_Sales[[#This Row],[Product Cleaned]],Price!$A$2:$C$9,3,0)</f>
        <v>72</v>
      </c>
      <c r="N58" s="12">
        <f>(Shoe_Sales[[#This Row],[Quantity]]*Shoe_Sales[[#This Row],[Selling Price]])</f>
        <v>256</v>
      </c>
      <c r="O58" s="12">
        <f>(Shoe_Sales[[#This Row],[Quantity]]*Shoe_Sales[[#This Row],[Cost Price]])</f>
        <v>144</v>
      </c>
      <c r="P58" s="12">
        <f>(Shoe_Sales[[#This Row],[Revenue]]-Shoe_Sales[[#This Row],[Cost]])</f>
        <v>112</v>
      </c>
      <c r="Q58" s="15">
        <f>(Shoe_Sales[[#This Row],[Profit]]/Shoe_Sales[[#This Row],[Revenue]])</f>
        <v>0.4375</v>
      </c>
    </row>
    <row r="59" spans="1:17" x14ac:dyDescent="0.25">
      <c r="A59" s="9">
        <v>46045</v>
      </c>
      <c r="B59" s="4" t="s">
        <v>47</v>
      </c>
      <c r="C59" s="2" t="str">
        <f t="shared" si="0"/>
        <v>Slippers</v>
      </c>
      <c r="D59" s="4" t="s">
        <v>33</v>
      </c>
      <c r="E59" s="2" t="str">
        <f t="shared" si="1"/>
        <v>Formal</v>
      </c>
      <c r="F59" s="4" t="s">
        <v>19</v>
      </c>
      <c r="G59" s="4" t="s">
        <v>20</v>
      </c>
      <c r="H59" s="4" t="str">
        <f>PROPER(Shoe_Sales[[#This Row],[Brand]])</f>
        <v>Nike</v>
      </c>
      <c r="I59" s="4" t="s">
        <v>11</v>
      </c>
      <c r="J59" s="5">
        <v>1</v>
      </c>
      <c r="K59" s="4" t="s">
        <v>79</v>
      </c>
      <c r="L59" s="12">
        <f>VLOOKUP(Shoe_Sales[[#This Row],[Product Cleaned]],Price!$A$2:$C$9,2,FALSE)</f>
        <v>119</v>
      </c>
      <c r="M59" s="12">
        <f>VLOOKUP(Shoe_Sales[[#This Row],[Product Cleaned]],Price!$A$2:$C$9,3,0)</f>
        <v>67</v>
      </c>
      <c r="N59" s="12">
        <f>(Shoe_Sales[[#This Row],[Quantity]]*Shoe_Sales[[#This Row],[Selling Price]])</f>
        <v>119</v>
      </c>
      <c r="O59" s="12">
        <f>(Shoe_Sales[[#This Row],[Quantity]]*Shoe_Sales[[#This Row],[Cost Price]])</f>
        <v>67</v>
      </c>
      <c r="P59" s="12">
        <f>(Shoe_Sales[[#This Row],[Revenue]]-Shoe_Sales[[#This Row],[Cost]])</f>
        <v>52</v>
      </c>
      <c r="Q59" s="15">
        <f>(Shoe_Sales[[#This Row],[Profit]]/Shoe_Sales[[#This Row],[Revenue]])</f>
        <v>0.43697478991596639</v>
      </c>
    </row>
    <row r="60" spans="1:17" x14ac:dyDescent="0.25">
      <c r="A60" s="8">
        <v>46230</v>
      </c>
      <c r="B60" s="2" t="s">
        <v>75</v>
      </c>
      <c r="C60" s="2" t="str">
        <f t="shared" si="0"/>
        <v>Brogues</v>
      </c>
      <c r="D60" s="2" t="s">
        <v>13</v>
      </c>
      <c r="E60" s="2" t="str">
        <f t="shared" si="1"/>
        <v>Casual</v>
      </c>
      <c r="F60" s="2" t="s">
        <v>29</v>
      </c>
      <c r="G60" s="2" t="s">
        <v>69</v>
      </c>
      <c r="H60" s="2" t="str">
        <f>PROPER(Shoe_Sales[[#This Row],[Brand]])</f>
        <v>Nike</v>
      </c>
      <c r="I60" s="2" t="s">
        <v>16</v>
      </c>
      <c r="J60" s="3">
        <v>15</v>
      </c>
      <c r="K60" s="2" t="s">
        <v>79</v>
      </c>
      <c r="L60" s="12">
        <f>VLOOKUP(Shoe_Sales[[#This Row],[Product Cleaned]],Price!$A$2:$C$9,2,FALSE)</f>
        <v>112</v>
      </c>
      <c r="M60" s="12">
        <f>VLOOKUP(Shoe_Sales[[#This Row],[Product Cleaned]],Price!$A$2:$C$9,3,0)</f>
        <v>64</v>
      </c>
      <c r="N60" s="12">
        <f>(Shoe_Sales[[#This Row],[Quantity]]*Shoe_Sales[[#This Row],[Selling Price]])</f>
        <v>1680</v>
      </c>
      <c r="O60" s="12">
        <f>(Shoe_Sales[[#This Row],[Quantity]]*Shoe_Sales[[#This Row],[Cost Price]])</f>
        <v>960</v>
      </c>
      <c r="P60" s="12">
        <f>(Shoe_Sales[[#This Row],[Revenue]]-Shoe_Sales[[#This Row],[Cost]])</f>
        <v>720</v>
      </c>
      <c r="Q60" s="15">
        <f>(Shoe_Sales[[#This Row],[Profit]]/Shoe_Sales[[#This Row],[Revenue]])</f>
        <v>0.42857142857142855</v>
      </c>
    </row>
    <row r="61" spans="1:17" x14ac:dyDescent="0.25">
      <c r="A61" s="9">
        <v>46196</v>
      </c>
      <c r="B61" s="4" t="s">
        <v>55</v>
      </c>
      <c r="C61" s="2" t="str">
        <f t="shared" si="0"/>
        <v>Boots</v>
      </c>
      <c r="D61" s="4" t="s">
        <v>33</v>
      </c>
      <c r="E61" s="2" t="str">
        <f t="shared" si="1"/>
        <v>Formal</v>
      </c>
      <c r="F61" s="4" t="s">
        <v>29</v>
      </c>
      <c r="G61" s="4" t="s">
        <v>66</v>
      </c>
      <c r="H61" s="4" t="str">
        <f>PROPER(Shoe_Sales[[#This Row],[Brand]])</f>
        <v>Steve Madden</v>
      </c>
      <c r="I61" s="4" t="s">
        <v>26</v>
      </c>
      <c r="J61" s="5">
        <v>11</v>
      </c>
      <c r="K61" s="4" t="s">
        <v>82</v>
      </c>
      <c r="L61" s="12">
        <f>VLOOKUP(Shoe_Sales[[#This Row],[Product Cleaned]],Price!$A$2:$C$9,2,FALSE)</f>
        <v>76</v>
      </c>
      <c r="M61" s="12">
        <f>VLOOKUP(Shoe_Sales[[#This Row],[Product Cleaned]],Price!$A$2:$C$9,3,0)</f>
        <v>39</v>
      </c>
      <c r="N61" s="12">
        <f>(Shoe_Sales[[#This Row],[Quantity]]*Shoe_Sales[[#This Row],[Selling Price]])</f>
        <v>836</v>
      </c>
      <c r="O61" s="12">
        <f>(Shoe_Sales[[#This Row],[Quantity]]*Shoe_Sales[[#This Row],[Cost Price]])</f>
        <v>429</v>
      </c>
      <c r="P61" s="12">
        <f>(Shoe_Sales[[#This Row],[Revenue]]-Shoe_Sales[[#This Row],[Cost]])</f>
        <v>407</v>
      </c>
      <c r="Q61" s="15">
        <f>(Shoe_Sales[[#This Row],[Profit]]/Shoe_Sales[[#This Row],[Revenue]])</f>
        <v>0.48684210526315791</v>
      </c>
    </row>
    <row r="62" spans="1:17" x14ac:dyDescent="0.25">
      <c r="A62" s="8">
        <v>46121</v>
      </c>
      <c r="B62" s="2" t="s">
        <v>32</v>
      </c>
      <c r="C62" s="2" t="str">
        <f t="shared" si="0"/>
        <v>Oxford</v>
      </c>
      <c r="D62" s="2" t="s">
        <v>72</v>
      </c>
      <c r="E62" s="2" t="str">
        <f t="shared" si="1"/>
        <v>Utility</v>
      </c>
      <c r="F62" s="2" t="s">
        <v>19</v>
      </c>
      <c r="G62" s="2" t="s">
        <v>10</v>
      </c>
      <c r="H62" s="2" t="str">
        <f>PROPER(Shoe_Sales[[#This Row],[Brand]])</f>
        <v>Clarks</v>
      </c>
      <c r="I62" s="2" t="s">
        <v>21</v>
      </c>
      <c r="J62" s="3">
        <v>10</v>
      </c>
      <c r="K62" s="2" t="s">
        <v>80</v>
      </c>
      <c r="L62" s="12">
        <f>VLOOKUP(Shoe_Sales[[#This Row],[Product Cleaned]],Price!$A$2:$C$9,2,FALSE)</f>
        <v>105</v>
      </c>
      <c r="M62" s="12">
        <f>VLOOKUP(Shoe_Sales[[#This Row],[Product Cleaned]],Price!$A$2:$C$9,3,0)</f>
        <v>58</v>
      </c>
      <c r="N62" s="12">
        <f>(Shoe_Sales[[#This Row],[Quantity]]*Shoe_Sales[[#This Row],[Selling Price]])</f>
        <v>1050</v>
      </c>
      <c r="O62" s="12">
        <f>(Shoe_Sales[[#This Row],[Quantity]]*Shoe_Sales[[#This Row],[Cost Price]])</f>
        <v>580</v>
      </c>
      <c r="P62" s="12">
        <f>(Shoe_Sales[[#This Row],[Revenue]]-Shoe_Sales[[#This Row],[Cost]])</f>
        <v>470</v>
      </c>
      <c r="Q62" s="15">
        <f>(Shoe_Sales[[#This Row],[Profit]]/Shoe_Sales[[#This Row],[Revenue]])</f>
        <v>0.44761904761904764</v>
      </c>
    </row>
    <row r="63" spans="1:17" x14ac:dyDescent="0.25">
      <c r="A63" s="9">
        <v>46194</v>
      </c>
      <c r="B63" s="4" t="s">
        <v>44</v>
      </c>
      <c r="C63" s="2" t="str">
        <f t="shared" si="0"/>
        <v>Canvas</v>
      </c>
      <c r="D63" s="4" t="s">
        <v>8</v>
      </c>
      <c r="E63" s="2" t="str">
        <f t="shared" si="1"/>
        <v>Formal</v>
      </c>
      <c r="F63" s="4" t="s">
        <v>14</v>
      </c>
      <c r="G63" s="4" t="s">
        <v>66</v>
      </c>
      <c r="H63" s="4" t="str">
        <f>PROPER(Shoe_Sales[[#This Row],[Brand]])</f>
        <v>Steve Madden</v>
      </c>
      <c r="I63" s="4" t="s">
        <v>54</v>
      </c>
      <c r="J63" s="5">
        <v>9</v>
      </c>
      <c r="K63" s="4" t="s">
        <v>80</v>
      </c>
      <c r="L63" s="12">
        <f>VLOOKUP(Shoe_Sales[[#This Row],[Product Cleaned]],Price!$A$2:$C$9,2,FALSE)</f>
        <v>128</v>
      </c>
      <c r="M63" s="12">
        <f>VLOOKUP(Shoe_Sales[[#This Row],[Product Cleaned]],Price!$A$2:$C$9,3,0)</f>
        <v>72</v>
      </c>
      <c r="N63" s="12">
        <f>(Shoe_Sales[[#This Row],[Quantity]]*Shoe_Sales[[#This Row],[Selling Price]])</f>
        <v>1152</v>
      </c>
      <c r="O63" s="12">
        <f>(Shoe_Sales[[#This Row],[Quantity]]*Shoe_Sales[[#This Row],[Cost Price]])</f>
        <v>648</v>
      </c>
      <c r="P63" s="12">
        <f>(Shoe_Sales[[#This Row],[Revenue]]-Shoe_Sales[[#This Row],[Cost]])</f>
        <v>504</v>
      </c>
      <c r="Q63" s="15">
        <f>(Shoe_Sales[[#This Row],[Profit]]/Shoe_Sales[[#This Row],[Revenue]])</f>
        <v>0.4375</v>
      </c>
    </row>
    <row r="64" spans="1:17" x14ac:dyDescent="0.25">
      <c r="A64" s="8">
        <v>46081</v>
      </c>
      <c r="B64" s="2" t="s">
        <v>51</v>
      </c>
      <c r="C64" s="2" t="str">
        <f t="shared" si="0"/>
        <v>Loafers</v>
      </c>
      <c r="D64" s="2" t="s">
        <v>33</v>
      </c>
      <c r="E64" s="2" t="str">
        <f t="shared" si="1"/>
        <v>Formal</v>
      </c>
      <c r="F64" s="2" t="s">
        <v>24</v>
      </c>
      <c r="G64" s="2" t="s">
        <v>49</v>
      </c>
      <c r="H64" s="2" t="str">
        <f>PROPER(Shoe_Sales[[#This Row],[Brand]])</f>
        <v>Nike</v>
      </c>
      <c r="I64" s="2" t="s">
        <v>16</v>
      </c>
      <c r="J64" s="3">
        <v>1</v>
      </c>
      <c r="K64" s="2" t="s">
        <v>79</v>
      </c>
      <c r="L64" s="12">
        <f>VLOOKUP(Shoe_Sales[[#This Row],[Product Cleaned]],Price!$A$2:$C$9,2,FALSE)</f>
        <v>54</v>
      </c>
      <c r="M64" s="12">
        <f>VLOOKUP(Shoe_Sales[[#This Row],[Product Cleaned]],Price!$A$2:$C$9,3,0)</f>
        <v>28</v>
      </c>
      <c r="N64" s="12">
        <f>(Shoe_Sales[[#This Row],[Quantity]]*Shoe_Sales[[#This Row],[Selling Price]])</f>
        <v>54</v>
      </c>
      <c r="O64" s="12">
        <f>(Shoe_Sales[[#This Row],[Quantity]]*Shoe_Sales[[#This Row],[Cost Price]])</f>
        <v>28</v>
      </c>
      <c r="P64" s="12">
        <f>(Shoe_Sales[[#This Row],[Revenue]]-Shoe_Sales[[#This Row],[Cost]])</f>
        <v>26</v>
      </c>
      <c r="Q64" s="15">
        <f>(Shoe_Sales[[#This Row],[Profit]]/Shoe_Sales[[#This Row],[Revenue]])</f>
        <v>0.48148148148148145</v>
      </c>
    </row>
    <row r="65" spans="1:17" x14ac:dyDescent="0.25">
      <c r="A65" s="9">
        <v>46197</v>
      </c>
      <c r="B65" s="4" t="s">
        <v>59</v>
      </c>
      <c r="C65" s="2" t="str">
        <f t="shared" si="0"/>
        <v>Oxford</v>
      </c>
      <c r="D65" s="4" t="s">
        <v>39</v>
      </c>
      <c r="E65" s="2" t="str">
        <f t="shared" si="1"/>
        <v>Formal</v>
      </c>
      <c r="F65" s="4" t="s">
        <v>29</v>
      </c>
      <c r="G65" s="4" t="s">
        <v>53</v>
      </c>
      <c r="H65" s="4" t="str">
        <f>PROPER(Shoe_Sales[[#This Row],[Brand]])</f>
        <v>Zara</v>
      </c>
      <c r="I65" s="4" t="s">
        <v>46</v>
      </c>
      <c r="J65" s="5">
        <v>8</v>
      </c>
      <c r="K65" s="4" t="s">
        <v>79</v>
      </c>
      <c r="L65" s="12">
        <f>VLOOKUP(Shoe_Sales[[#This Row],[Product Cleaned]],Price!$A$2:$C$9,2,FALSE)</f>
        <v>105</v>
      </c>
      <c r="M65" s="12">
        <f>VLOOKUP(Shoe_Sales[[#This Row],[Product Cleaned]],Price!$A$2:$C$9,3,0)</f>
        <v>58</v>
      </c>
      <c r="N65" s="12">
        <f>(Shoe_Sales[[#This Row],[Quantity]]*Shoe_Sales[[#This Row],[Selling Price]])</f>
        <v>840</v>
      </c>
      <c r="O65" s="12">
        <f>(Shoe_Sales[[#This Row],[Quantity]]*Shoe_Sales[[#This Row],[Cost Price]])</f>
        <v>464</v>
      </c>
      <c r="P65" s="12">
        <f>(Shoe_Sales[[#This Row],[Revenue]]-Shoe_Sales[[#This Row],[Cost]])</f>
        <v>376</v>
      </c>
      <c r="Q65" s="15">
        <f>(Shoe_Sales[[#This Row],[Profit]]/Shoe_Sales[[#This Row],[Revenue]])</f>
        <v>0.44761904761904764</v>
      </c>
    </row>
    <row r="66" spans="1:17" x14ac:dyDescent="0.25">
      <c r="A66" s="8">
        <v>46112</v>
      </c>
      <c r="B66" s="2" t="s">
        <v>74</v>
      </c>
      <c r="C66" s="2" t="str">
        <f t="shared" ref="C66:C129" si="2">TRIM(PROPER(B66))</f>
        <v>Oxford</v>
      </c>
      <c r="D66" s="2" t="s">
        <v>23</v>
      </c>
      <c r="E66" s="2" t="str">
        <f t="shared" si="1"/>
        <v>Casual</v>
      </c>
      <c r="F66" s="2" t="s">
        <v>29</v>
      </c>
      <c r="G66" s="2" t="s">
        <v>66</v>
      </c>
      <c r="H66" s="2" t="str">
        <f>PROPER(Shoe_Sales[[#This Row],[Brand]])</f>
        <v>Steve Madden</v>
      </c>
      <c r="I66" s="2" t="s">
        <v>41</v>
      </c>
      <c r="J66" s="3">
        <v>5</v>
      </c>
      <c r="K66" s="2" t="s">
        <v>79</v>
      </c>
      <c r="L66" s="12">
        <f>VLOOKUP(Shoe_Sales[[#This Row],[Product Cleaned]],Price!$A$2:$C$9,2,FALSE)</f>
        <v>105</v>
      </c>
      <c r="M66" s="12">
        <f>VLOOKUP(Shoe_Sales[[#This Row],[Product Cleaned]],Price!$A$2:$C$9,3,0)</f>
        <v>58</v>
      </c>
      <c r="N66" s="12">
        <f>(Shoe_Sales[[#This Row],[Quantity]]*Shoe_Sales[[#This Row],[Selling Price]])</f>
        <v>525</v>
      </c>
      <c r="O66" s="12">
        <f>(Shoe_Sales[[#This Row],[Quantity]]*Shoe_Sales[[#This Row],[Cost Price]])</f>
        <v>290</v>
      </c>
      <c r="P66" s="12">
        <f>(Shoe_Sales[[#This Row],[Revenue]]-Shoe_Sales[[#This Row],[Cost]])</f>
        <v>235</v>
      </c>
      <c r="Q66" s="15">
        <f>(Shoe_Sales[[#This Row],[Profit]]/Shoe_Sales[[#This Row],[Revenue]])</f>
        <v>0.44761904761904764</v>
      </c>
    </row>
    <row r="67" spans="1:17" x14ac:dyDescent="0.25">
      <c r="A67" s="9">
        <v>46124</v>
      </c>
      <c r="B67" s="4" t="s">
        <v>7</v>
      </c>
      <c r="C67" s="2" t="str">
        <f t="shared" si="2"/>
        <v>Derby</v>
      </c>
      <c r="D67" s="4" t="s">
        <v>13</v>
      </c>
      <c r="E67" s="2" t="str">
        <f t="shared" ref="E67:E130" si="3">PROPER(D67)</f>
        <v>Casual</v>
      </c>
      <c r="F67" s="4" t="s">
        <v>9</v>
      </c>
      <c r="G67" s="4" t="s">
        <v>73</v>
      </c>
      <c r="H67" s="4" t="str">
        <f>PROPER(Shoe_Sales[[#This Row],[Brand]])</f>
        <v>Timberland</v>
      </c>
      <c r="I67" s="4" t="s">
        <v>11</v>
      </c>
      <c r="J67" s="5">
        <v>14</v>
      </c>
      <c r="K67" s="4" t="s">
        <v>80</v>
      </c>
      <c r="L67" s="12">
        <f>VLOOKUP(Shoe_Sales[[#This Row],[Product Cleaned]],Price!$A$2:$C$9,2,FALSE)</f>
        <v>32</v>
      </c>
      <c r="M67" s="12">
        <f>VLOOKUP(Shoe_Sales[[#This Row],[Product Cleaned]],Price!$A$2:$C$9,3,0)</f>
        <v>14</v>
      </c>
      <c r="N67" s="12">
        <f>(Shoe_Sales[[#This Row],[Quantity]]*Shoe_Sales[[#This Row],[Selling Price]])</f>
        <v>448</v>
      </c>
      <c r="O67" s="12">
        <f>(Shoe_Sales[[#This Row],[Quantity]]*Shoe_Sales[[#This Row],[Cost Price]])</f>
        <v>196</v>
      </c>
      <c r="P67" s="12">
        <f>(Shoe_Sales[[#This Row],[Revenue]]-Shoe_Sales[[#This Row],[Cost]])</f>
        <v>252</v>
      </c>
      <c r="Q67" s="15">
        <f>(Shoe_Sales[[#This Row],[Profit]]/Shoe_Sales[[#This Row],[Revenue]])</f>
        <v>0.5625</v>
      </c>
    </row>
    <row r="68" spans="1:17" x14ac:dyDescent="0.25">
      <c r="A68" s="8">
        <v>46161</v>
      </c>
      <c r="B68" s="2" t="s">
        <v>38</v>
      </c>
      <c r="C68" s="2" t="str">
        <f t="shared" si="2"/>
        <v>Monk Straps</v>
      </c>
      <c r="D68" s="2" t="s">
        <v>68</v>
      </c>
      <c r="E68" s="2" t="str">
        <f t="shared" si="3"/>
        <v>Open</v>
      </c>
      <c r="F68" s="2" t="s">
        <v>14</v>
      </c>
      <c r="G68" s="2" t="s">
        <v>60</v>
      </c>
      <c r="H68" s="2" t="str">
        <f>PROPER(Shoe_Sales[[#This Row],[Brand]])</f>
        <v>Clarks</v>
      </c>
      <c r="I68" s="2" t="s">
        <v>26</v>
      </c>
      <c r="J68" s="3">
        <v>14</v>
      </c>
      <c r="K68" s="2" t="s">
        <v>82</v>
      </c>
      <c r="L68" s="12">
        <f>VLOOKUP(Shoe_Sales[[#This Row],[Product Cleaned]],Price!$A$2:$C$9,2,FALSE)</f>
        <v>89</v>
      </c>
      <c r="M68" s="12">
        <f>VLOOKUP(Shoe_Sales[[#This Row],[Product Cleaned]],Price!$A$2:$C$9,3,0)</f>
        <v>47</v>
      </c>
      <c r="N68" s="12">
        <f>(Shoe_Sales[[#This Row],[Quantity]]*Shoe_Sales[[#This Row],[Selling Price]])</f>
        <v>1246</v>
      </c>
      <c r="O68" s="12">
        <f>(Shoe_Sales[[#This Row],[Quantity]]*Shoe_Sales[[#This Row],[Cost Price]])</f>
        <v>658</v>
      </c>
      <c r="P68" s="12">
        <f>(Shoe_Sales[[#This Row],[Revenue]]-Shoe_Sales[[#This Row],[Cost]])</f>
        <v>588</v>
      </c>
      <c r="Q68" s="15">
        <f>(Shoe_Sales[[#This Row],[Profit]]/Shoe_Sales[[#This Row],[Revenue]])</f>
        <v>0.47191011235955055</v>
      </c>
    </row>
    <row r="69" spans="1:17" x14ac:dyDescent="0.25">
      <c r="A69" s="9">
        <v>46028</v>
      </c>
      <c r="B69" s="4" t="s">
        <v>75</v>
      </c>
      <c r="C69" s="2" t="str">
        <f t="shared" si="2"/>
        <v>Brogues</v>
      </c>
      <c r="D69" s="4" t="s">
        <v>8</v>
      </c>
      <c r="E69" s="2" t="str">
        <f t="shared" si="3"/>
        <v>Formal</v>
      </c>
      <c r="F69" s="4" t="s">
        <v>9</v>
      </c>
      <c r="G69" s="4" t="s">
        <v>60</v>
      </c>
      <c r="H69" s="4" t="str">
        <f>PROPER(Shoe_Sales[[#This Row],[Brand]])</f>
        <v>Clarks</v>
      </c>
      <c r="I69" s="4" t="s">
        <v>61</v>
      </c>
      <c r="J69" s="5">
        <v>8</v>
      </c>
      <c r="K69" s="4" t="s">
        <v>82</v>
      </c>
      <c r="L69" s="12">
        <f>VLOOKUP(Shoe_Sales[[#This Row],[Product Cleaned]],Price!$A$2:$C$9,2,FALSE)</f>
        <v>112</v>
      </c>
      <c r="M69" s="12">
        <f>VLOOKUP(Shoe_Sales[[#This Row],[Product Cleaned]],Price!$A$2:$C$9,3,0)</f>
        <v>64</v>
      </c>
      <c r="N69" s="12">
        <f>(Shoe_Sales[[#This Row],[Quantity]]*Shoe_Sales[[#This Row],[Selling Price]])</f>
        <v>896</v>
      </c>
      <c r="O69" s="12">
        <f>(Shoe_Sales[[#This Row],[Quantity]]*Shoe_Sales[[#This Row],[Cost Price]])</f>
        <v>512</v>
      </c>
      <c r="P69" s="12">
        <f>(Shoe_Sales[[#This Row],[Revenue]]-Shoe_Sales[[#This Row],[Cost]])</f>
        <v>384</v>
      </c>
      <c r="Q69" s="15">
        <f>(Shoe_Sales[[#This Row],[Profit]]/Shoe_Sales[[#This Row],[Revenue]])</f>
        <v>0.42857142857142855</v>
      </c>
    </row>
    <row r="70" spans="1:17" x14ac:dyDescent="0.25">
      <c r="A70" s="8">
        <v>46179</v>
      </c>
      <c r="B70" s="2" t="s">
        <v>51</v>
      </c>
      <c r="C70" s="2" t="str">
        <f t="shared" si="2"/>
        <v>Loafers</v>
      </c>
      <c r="D70" s="2" t="s">
        <v>8</v>
      </c>
      <c r="E70" s="2" t="str">
        <f t="shared" si="3"/>
        <v>Formal</v>
      </c>
      <c r="F70" s="2" t="s">
        <v>9</v>
      </c>
      <c r="G70" s="2" t="s">
        <v>34</v>
      </c>
      <c r="H70" s="2" t="str">
        <f>PROPER(Shoe_Sales[[#This Row],[Brand]])</f>
        <v>Clarks</v>
      </c>
      <c r="I70" s="2" t="s">
        <v>58</v>
      </c>
      <c r="J70" s="3">
        <v>7</v>
      </c>
      <c r="K70" s="2" t="s">
        <v>79</v>
      </c>
      <c r="L70" s="12">
        <f>VLOOKUP(Shoe_Sales[[#This Row],[Product Cleaned]],Price!$A$2:$C$9,2,FALSE)</f>
        <v>54</v>
      </c>
      <c r="M70" s="12">
        <f>VLOOKUP(Shoe_Sales[[#This Row],[Product Cleaned]],Price!$A$2:$C$9,3,0)</f>
        <v>28</v>
      </c>
      <c r="N70" s="12">
        <f>(Shoe_Sales[[#This Row],[Quantity]]*Shoe_Sales[[#This Row],[Selling Price]])</f>
        <v>378</v>
      </c>
      <c r="O70" s="12">
        <f>(Shoe_Sales[[#This Row],[Quantity]]*Shoe_Sales[[#This Row],[Cost Price]])</f>
        <v>196</v>
      </c>
      <c r="P70" s="12">
        <f>(Shoe_Sales[[#This Row],[Revenue]]-Shoe_Sales[[#This Row],[Cost]])</f>
        <v>182</v>
      </c>
      <c r="Q70" s="15">
        <f>(Shoe_Sales[[#This Row],[Profit]]/Shoe_Sales[[#This Row],[Revenue]])</f>
        <v>0.48148148148148145</v>
      </c>
    </row>
    <row r="71" spans="1:17" x14ac:dyDescent="0.25">
      <c r="A71" s="9">
        <v>46182</v>
      </c>
      <c r="B71" s="4" t="s">
        <v>36</v>
      </c>
      <c r="C71" s="2" t="str">
        <f t="shared" si="2"/>
        <v>Brogues</v>
      </c>
      <c r="D71" s="4" t="s">
        <v>18</v>
      </c>
      <c r="E71" s="2" t="str">
        <f t="shared" si="3"/>
        <v>Open</v>
      </c>
      <c r="F71" s="4" t="s">
        <v>29</v>
      </c>
      <c r="G71" s="4" t="s">
        <v>60</v>
      </c>
      <c r="H71" s="4" t="str">
        <f>PROPER(Shoe_Sales[[#This Row],[Brand]])</f>
        <v>Clarks</v>
      </c>
      <c r="I71" s="4" t="s">
        <v>58</v>
      </c>
      <c r="J71" s="5">
        <v>7</v>
      </c>
      <c r="K71" s="4" t="s">
        <v>82</v>
      </c>
      <c r="L71" s="12">
        <f>VLOOKUP(Shoe_Sales[[#This Row],[Product Cleaned]],Price!$A$2:$C$9,2,FALSE)</f>
        <v>112</v>
      </c>
      <c r="M71" s="12">
        <f>VLOOKUP(Shoe_Sales[[#This Row],[Product Cleaned]],Price!$A$2:$C$9,3,0)</f>
        <v>64</v>
      </c>
      <c r="N71" s="12">
        <f>(Shoe_Sales[[#This Row],[Quantity]]*Shoe_Sales[[#This Row],[Selling Price]])</f>
        <v>784</v>
      </c>
      <c r="O71" s="12">
        <f>(Shoe_Sales[[#This Row],[Quantity]]*Shoe_Sales[[#This Row],[Cost Price]])</f>
        <v>448</v>
      </c>
      <c r="P71" s="12">
        <f>(Shoe_Sales[[#This Row],[Revenue]]-Shoe_Sales[[#This Row],[Cost]])</f>
        <v>336</v>
      </c>
      <c r="Q71" s="15">
        <f>(Shoe_Sales[[#This Row],[Profit]]/Shoe_Sales[[#This Row],[Revenue]])</f>
        <v>0.42857142857142855</v>
      </c>
    </row>
    <row r="72" spans="1:17" x14ac:dyDescent="0.25">
      <c r="A72" s="8">
        <v>46085</v>
      </c>
      <c r="B72" s="2" t="s">
        <v>63</v>
      </c>
      <c r="C72" s="2" t="str">
        <f t="shared" si="2"/>
        <v>Monk Straps</v>
      </c>
      <c r="D72" s="2" t="s">
        <v>39</v>
      </c>
      <c r="E72" s="2" t="str">
        <f t="shared" si="3"/>
        <v>Formal</v>
      </c>
      <c r="F72" s="2" t="s">
        <v>29</v>
      </c>
      <c r="G72" s="2" t="s">
        <v>30</v>
      </c>
      <c r="H72" s="2" t="str">
        <f>PROPER(Shoe_Sales[[#This Row],[Brand]])</f>
        <v>Timberland</v>
      </c>
      <c r="I72" s="2" t="s">
        <v>21</v>
      </c>
      <c r="J72" s="3">
        <v>8</v>
      </c>
      <c r="K72" s="2" t="s">
        <v>81</v>
      </c>
      <c r="L72" s="12">
        <f>VLOOKUP(Shoe_Sales[[#This Row],[Product Cleaned]],Price!$A$2:$C$9,2,FALSE)</f>
        <v>89</v>
      </c>
      <c r="M72" s="12">
        <f>VLOOKUP(Shoe_Sales[[#This Row],[Product Cleaned]],Price!$A$2:$C$9,3,0)</f>
        <v>47</v>
      </c>
      <c r="N72" s="12">
        <f>(Shoe_Sales[[#This Row],[Quantity]]*Shoe_Sales[[#This Row],[Selling Price]])</f>
        <v>712</v>
      </c>
      <c r="O72" s="12">
        <f>(Shoe_Sales[[#This Row],[Quantity]]*Shoe_Sales[[#This Row],[Cost Price]])</f>
        <v>376</v>
      </c>
      <c r="P72" s="12">
        <f>(Shoe_Sales[[#This Row],[Revenue]]-Shoe_Sales[[#This Row],[Cost]])</f>
        <v>336</v>
      </c>
      <c r="Q72" s="15">
        <f>(Shoe_Sales[[#This Row],[Profit]]/Shoe_Sales[[#This Row],[Revenue]])</f>
        <v>0.47191011235955055</v>
      </c>
    </row>
    <row r="73" spans="1:17" x14ac:dyDescent="0.25">
      <c r="A73" s="9">
        <v>46213</v>
      </c>
      <c r="B73" s="4" t="s">
        <v>7</v>
      </c>
      <c r="C73" s="2" t="str">
        <f t="shared" si="2"/>
        <v>Derby</v>
      </c>
      <c r="D73" s="4" t="s">
        <v>13</v>
      </c>
      <c r="E73" s="2" t="str">
        <f t="shared" si="3"/>
        <v>Casual</v>
      </c>
      <c r="F73" s="4" t="s">
        <v>29</v>
      </c>
      <c r="G73" s="4" t="s">
        <v>10</v>
      </c>
      <c r="H73" s="4" t="str">
        <f>PROPER(Shoe_Sales[[#This Row],[Brand]])</f>
        <v>Clarks</v>
      </c>
      <c r="I73" s="4" t="s">
        <v>26</v>
      </c>
      <c r="J73" s="5">
        <v>9</v>
      </c>
      <c r="K73" s="4" t="s">
        <v>82</v>
      </c>
      <c r="L73" s="12">
        <f>VLOOKUP(Shoe_Sales[[#This Row],[Product Cleaned]],Price!$A$2:$C$9,2,FALSE)</f>
        <v>32</v>
      </c>
      <c r="M73" s="12">
        <f>VLOOKUP(Shoe_Sales[[#This Row],[Product Cleaned]],Price!$A$2:$C$9,3,0)</f>
        <v>14</v>
      </c>
      <c r="N73" s="12">
        <f>(Shoe_Sales[[#This Row],[Quantity]]*Shoe_Sales[[#This Row],[Selling Price]])</f>
        <v>288</v>
      </c>
      <c r="O73" s="12">
        <f>(Shoe_Sales[[#This Row],[Quantity]]*Shoe_Sales[[#This Row],[Cost Price]])</f>
        <v>126</v>
      </c>
      <c r="P73" s="12">
        <f>(Shoe_Sales[[#This Row],[Revenue]]-Shoe_Sales[[#This Row],[Cost]])</f>
        <v>162</v>
      </c>
      <c r="Q73" s="15">
        <f>(Shoe_Sales[[#This Row],[Profit]]/Shoe_Sales[[#This Row],[Revenue]])</f>
        <v>0.5625</v>
      </c>
    </row>
    <row r="74" spans="1:17" x14ac:dyDescent="0.25">
      <c r="A74" s="8">
        <v>46089</v>
      </c>
      <c r="B74" s="2" t="s">
        <v>55</v>
      </c>
      <c r="C74" s="2" t="str">
        <f t="shared" si="2"/>
        <v>Boots</v>
      </c>
      <c r="D74" s="2" t="s">
        <v>8</v>
      </c>
      <c r="E74" s="2" t="str">
        <f t="shared" si="3"/>
        <v>Formal</v>
      </c>
      <c r="F74" s="2" t="s">
        <v>14</v>
      </c>
      <c r="G74" s="2" t="s">
        <v>25</v>
      </c>
      <c r="H74" s="2" t="str">
        <f>PROPER(Shoe_Sales[[#This Row],[Brand]])</f>
        <v>Zara</v>
      </c>
      <c r="I74" s="2" t="s">
        <v>26</v>
      </c>
      <c r="J74" s="3">
        <v>5</v>
      </c>
      <c r="K74" s="2" t="s">
        <v>80</v>
      </c>
      <c r="L74" s="12">
        <f>VLOOKUP(Shoe_Sales[[#This Row],[Product Cleaned]],Price!$A$2:$C$9,2,FALSE)</f>
        <v>76</v>
      </c>
      <c r="M74" s="12">
        <f>VLOOKUP(Shoe_Sales[[#This Row],[Product Cleaned]],Price!$A$2:$C$9,3,0)</f>
        <v>39</v>
      </c>
      <c r="N74" s="12">
        <f>(Shoe_Sales[[#This Row],[Quantity]]*Shoe_Sales[[#This Row],[Selling Price]])</f>
        <v>380</v>
      </c>
      <c r="O74" s="12">
        <f>(Shoe_Sales[[#This Row],[Quantity]]*Shoe_Sales[[#This Row],[Cost Price]])</f>
        <v>195</v>
      </c>
      <c r="P74" s="12">
        <f>(Shoe_Sales[[#This Row],[Revenue]]-Shoe_Sales[[#This Row],[Cost]])</f>
        <v>185</v>
      </c>
      <c r="Q74" s="15">
        <f>(Shoe_Sales[[#This Row],[Profit]]/Shoe_Sales[[#This Row],[Revenue]])</f>
        <v>0.48684210526315791</v>
      </c>
    </row>
    <row r="75" spans="1:17" x14ac:dyDescent="0.25">
      <c r="A75" s="9">
        <v>46174</v>
      </c>
      <c r="B75" s="4" t="s">
        <v>55</v>
      </c>
      <c r="C75" s="2" t="str">
        <f t="shared" si="2"/>
        <v>Boots</v>
      </c>
      <c r="D75" s="4" t="s">
        <v>33</v>
      </c>
      <c r="E75" s="2" t="str">
        <f t="shared" si="3"/>
        <v>Formal</v>
      </c>
      <c r="F75" s="4" t="s">
        <v>24</v>
      </c>
      <c r="G75" s="4" t="s">
        <v>66</v>
      </c>
      <c r="H75" s="4" t="str">
        <f>PROPER(Shoe_Sales[[#This Row],[Brand]])</f>
        <v>Steve Madden</v>
      </c>
      <c r="I75" s="4" t="s">
        <v>58</v>
      </c>
      <c r="J75" s="5">
        <v>9</v>
      </c>
      <c r="K75" s="4" t="s">
        <v>81</v>
      </c>
      <c r="L75" s="12">
        <f>VLOOKUP(Shoe_Sales[[#This Row],[Product Cleaned]],Price!$A$2:$C$9,2,FALSE)</f>
        <v>76</v>
      </c>
      <c r="M75" s="12">
        <f>VLOOKUP(Shoe_Sales[[#This Row],[Product Cleaned]],Price!$A$2:$C$9,3,0)</f>
        <v>39</v>
      </c>
      <c r="N75" s="12">
        <f>(Shoe_Sales[[#This Row],[Quantity]]*Shoe_Sales[[#This Row],[Selling Price]])</f>
        <v>684</v>
      </c>
      <c r="O75" s="12">
        <f>(Shoe_Sales[[#This Row],[Quantity]]*Shoe_Sales[[#This Row],[Cost Price]])</f>
        <v>351</v>
      </c>
      <c r="P75" s="12">
        <f>(Shoe_Sales[[#This Row],[Revenue]]-Shoe_Sales[[#This Row],[Cost]])</f>
        <v>333</v>
      </c>
      <c r="Q75" s="15">
        <f>(Shoe_Sales[[#This Row],[Profit]]/Shoe_Sales[[#This Row],[Revenue]])</f>
        <v>0.48684210526315791</v>
      </c>
    </row>
    <row r="76" spans="1:17" x14ac:dyDescent="0.25">
      <c r="A76" s="8">
        <v>46077</v>
      </c>
      <c r="B76" s="2" t="s">
        <v>32</v>
      </c>
      <c r="C76" s="2" t="str">
        <f t="shared" si="2"/>
        <v>Oxford</v>
      </c>
      <c r="D76" s="2" t="s">
        <v>52</v>
      </c>
      <c r="E76" s="2" t="str">
        <f t="shared" si="3"/>
        <v>Casual</v>
      </c>
      <c r="F76" s="2" t="s">
        <v>14</v>
      </c>
      <c r="G76" s="2" t="s">
        <v>34</v>
      </c>
      <c r="H76" s="2" t="str">
        <f>PROPER(Shoe_Sales[[#This Row],[Brand]])</f>
        <v>Clarks</v>
      </c>
      <c r="I76" s="2" t="s">
        <v>41</v>
      </c>
      <c r="J76" s="3">
        <v>7</v>
      </c>
      <c r="K76" s="2" t="s">
        <v>80</v>
      </c>
      <c r="L76" s="12">
        <f>VLOOKUP(Shoe_Sales[[#This Row],[Product Cleaned]],Price!$A$2:$C$9,2,FALSE)</f>
        <v>105</v>
      </c>
      <c r="M76" s="12">
        <f>VLOOKUP(Shoe_Sales[[#This Row],[Product Cleaned]],Price!$A$2:$C$9,3,0)</f>
        <v>58</v>
      </c>
      <c r="N76" s="12">
        <f>(Shoe_Sales[[#This Row],[Quantity]]*Shoe_Sales[[#This Row],[Selling Price]])</f>
        <v>735</v>
      </c>
      <c r="O76" s="12">
        <f>(Shoe_Sales[[#This Row],[Quantity]]*Shoe_Sales[[#This Row],[Cost Price]])</f>
        <v>406</v>
      </c>
      <c r="P76" s="12">
        <f>(Shoe_Sales[[#This Row],[Revenue]]-Shoe_Sales[[#This Row],[Cost]])</f>
        <v>329</v>
      </c>
      <c r="Q76" s="15">
        <f>(Shoe_Sales[[#This Row],[Profit]]/Shoe_Sales[[#This Row],[Revenue]])</f>
        <v>0.44761904761904764</v>
      </c>
    </row>
    <row r="77" spans="1:17" x14ac:dyDescent="0.25">
      <c r="A77" s="9">
        <v>46148</v>
      </c>
      <c r="B77" s="4" t="s">
        <v>32</v>
      </c>
      <c r="C77" s="2" t="str">
        <f t="shared" si="2"/>
        <v>Oxford</v>
      </c>
      <c r="D77" s="4" t="s">
        <v>33</v>
      </c>
      <c r="E77" s="2" t="str">
        <f t="shared" si="3"/>
        <v>Formal</v>
      </c>
      <c r="F77" s="4" t="s">
        <v>29</v>
      </c>
      <c r="G77" s="4" t="s">
        <v>60</v>
      </c>
      <c r="H77" s="4" t="str">
        <f>PROPER(Shoe_Sales[[#This Row],[Brand]])</f>
        <v>Clarks</v>
      </c>
      <c r="I77" s="4" t="s">
        <v>16</v>
      </c>
      <c r="J77" s="5">
        <v>13</v>
      </c>
      <c r="K77" s="4" t="s">
        <v>81</v>
      </c>
      <c r="L77" s="12">
        <f>VLOOKUP(Shoe_Sales[[#This Row],[Product Cleaned]],Price!$A$2:$C$9,2,FALSE)</f>
        <v>105</v>
      </c>
      <c r="M77" s="12">
        <f>VLOOKUP(Shoe_Sales[[#This Row],[Product Cleaned]],Price!$A$2:$C$9,3,0)</f>
        <v>58</v>
      </c>
      <c r="N77" s="12">
        <f>(Shoe_Sales[[#This Row],[Quantity]]*Shoe_Sales[[#This Row],[Selling Price]])</f>
        <v>1365</v>
      </c>
      <c r="O77" s="12">
        <f>(Shoe_Sales[[#This Row],[Quantity]]*Shoe_Sales[[#This Row],[Cost Price]])</f>
        <v>754</v>
      </c>
      <c r="P77" s="12">
        <f>(Shoe_Sales[[#This Row],[Revenue]]-Shoe_Sales[[#This Row],[Cost]])</f>
        <v>611</v>
      </c>
      <c r="Q77" s="15">
        <f>(Shoe_Sales[[#This Row],[Profit]]/Shoe_Sales[[#This Row],[Revenue]])</f>
        <v>0.44761904761904764</v>
      </c>
    </row>
    <row r="78" spans="1:17" x14ac:dyDescent="0.25">
      <c r="A78" s="8">
        <v>46058</v>
      </c>
      <c r="B78" s="2" t="s">
        <v>70</v>
      </c>
      <c r="C78" s="2" t="str">
        <f t="shared" si="2"/>
        <v>Loafers</v>
      </c>
      <c r="D78" s="2" t="s">
        <v>33</v>
      </c>
      <c r="E78" s="2" t="str">
        <f t="shared" si="3"/>
        <v>Formal</v>
      </c>
      <c r="F78" s="2" t="s">
        <v>24</v>
      </c>
      <c r="G78" s="2" t="s">
        <v>53</v>
      </c>
      <c r="H78" s="2" t="str">
        <f>PROPER(Shoe_Sales[[#This Row],[Brand]])</f>
        <v>Zara</v>
      </c>
      <c r="I78" s="2" t="s">
        <v>21</v>
      </c>
      <c r="J78" s="3">
        <v>8</v>
      </c>
      <c r="K78" s="2" t="s">
        <v>80</v>
      </c>
      <c r="L78" s="12">
        <f>VLOOKUP(Shoe_Sales[[#This Row],[Product Cleaned]],Price!$A$2:$C$9,2,FALSE)</f>
        <v>54</v>
      </c>
      <c r="M78" s="12">
        <f>VLOOKUP(Shoe_Sales[[#This Row],[Product Cleaned]],Price!$A$2:$C$9,3,0)</f>
        <v>28</v>
      </c>
      <c r="N78" s="12">
        <f>(Shoe_Sales[[#This Row],[Quantity]]*Shoe_Sales[[#This Row],[Selling Price]])</f>
        <v>432</v>
      </c>
      <c r="O78" s="12">
        <f>(Shoe_Sales[[#This Row],[Quantity]]*Shoe_Sales[[#This Row],[Cost Price]])</f>
        <v>224</v>
      </c>
      <c r="P78" s="12">
        <f>(Shoe_Sales[[#This Row],[Revenue]]-Shoe_Sales[[#This Row],[Cost]])</f>
        <v>208</v>
      </c>
      <c r="Q78" s="15">
        <f>(Shoe_Sales[[#This Row],[Profit]]/Shoe_Sales[[#This Row],[Revenue]])</f>
        <v>0.48148148148148145</v>
      </c>
    </row>
    <row r="79" spans="1:17" x14ac:dyDescent="0.25">
      <c r="A79" s="9">
        <v>46084</v>
      </c>
      <c r="B79" s="4" t="s">
        <v>64</v>
      </c>
      <c r="C79" s="2" t="str">
        <f t="shared" si="2"/>
        <v>Derby</v>
      </c>
      <c r="D79" s="4" t="s">
        <v>52</v>
      </c>
      <c r="E79" s="2" t="str">
        <f t="shared" si="3"/>
        <v>Casual</v>
      </c>
      <c r="F79" s="4" t="s">
        <v>14</v>
      </c>
      <c r="G79" s="4" t="s">
        <v>30</v>
      </c>
      <c r="H79" s="4" t="str">
        <f>PROPER(Shoe_Sales[[#This Row],[Brand]])</f>
        <v>Timberland</v>
      </c>
      <c r="I79" s="4" t="s">
        <v>58</v>
      </c>
      <c r="J79" s="5">
        <v>11</v>
      </c>
      <c r="K79" s="4" t="s">
        <v>82</v>
      </c>
      <c r="L79" s="12">
        <f>VLOOKUP(Shoe_Sales[[#This Row],[Product Cleaned]],Price!$A$2:$C$9,2,FALSE)</f>
        <v>32</v>
      </c>
      <c r="M79" s="12">
        <f>VLOOKUP(Shoe_Sales[[#This Row],[Product Cleaned]],Price!$A$2:$C$9,3,0)</f>
        <v>14</v>
      </c>
      <c r="N79" s="12">
        <f>(Shoe_Sales[[#This Row],[Quantity]]*Shoe_Sales[[#This Row],[Selling Price]])</f>
        <v>352</v>
      </c>
      <c r="O79" s="12">
        <f>(Shoe_Sales[[#This Row],[Quantity]]*Shoe_Sales[[#This Row],[Cost Price]])</f>
        <v>154</v>
      </c>
      <c r="P79" s="12">
        <f>(Shoe_Sales[[#This Row],[Revenue]]-Shoe_Sales[[#This Row],[Cost]])</f>
        <v>198</v>
      </c>
      <c r="Q79" s="15">
        <f>(Shoe_Sales[[#This Row],[Profit]]/Shoe_Sales[[#This Row],[Revenue]])</f>
        <v>0.5625</v>
      </c>
    </row>
    <row r="80" spans="1:17" x14ac:dyDescent="0.25">
      <c r="A80" s="8">
        <v>46133</v>
      </c>
      <c r="B80" s="2" t="s">
        <v>75</v>
      </c>
      <c r="C80" s="2" t="str">
        <f t="shared" si="2"/>
        <v>Brogues</v>
      </c>
      <c r="D80" s="2" t="s">
        <v>39</v>
      </c>
      <c r="E80" s="2" t="str">
        <f t="shared" si="3"/>
        <v>Formal</v>
      </c>
      <c r="F80" s="2" t="s">
        <v>29</v>
      </c>
      <c r="G80" s="2" t="s">
        <v>34</v>
      </c>
      <c r="H80" s="2" t="str">
        <f>PROPER(Shoe_Sales[[#This Row],[Brand]])</f>
        <v>Clarks</v>
      </c>
      <c r="I80" s="2" t="s">
        <v>50</v>
      </c>
      <c r="J80" s="3">
        <v>11</v>
      </c>
      <c r="K80" s="2" t="s">
        <v>80</v>
      </c>
      <c r="L80" s="12">
        <f>VLOOKUP(Shoe_Sales[[#This Row],[Product Cleaned]],Price!$A$2:$C$9,2,FALSE)</f>
        <v>112</v>
      </c>
      <c r="M80" s="12">
        <f>VLOOKUP(Shoe_Sales[[#This Row],[Product Cleaned]],Price!$A$2:$C$9,3,0)</f>
        <v>64</v>
      </c>
      <c r="N80" s="12">
        <f>(Shoe_Sales[[#This Row],[Quantity]]*Shoe_Sales[[#This Row],[Selling Price]])</f>
        <v>1232</v>
      </c>
      <c r="O80" s="12">
        <f>(Shoe_Sales[[#This Row],[Quantity]]*Shoe_Sales[[#This Row],[Cost Price]])</f>
        <v>704</v>
      </c>
      <c r="P80" s="12">
        <f>(Shoe_Sales[[#This Row],[Revenue]]-Shoe_Sales[[#This Row],[Cost]])</f>
        <v>528</v>
      </c>
      <c r="Q80" s="15">
        <f>(Shoe_Sales[[#This Row],[Profit]]/Shoe_Sales[[#This Row],[Revenue]])</f>
        <v>0.42857142857142855</v>
      </c>
    </row>
    <row r="81" spans="1:17" x14ac:dyDescent="0.25">
      <c r="A81" s="9">
        <v>46219</v>
      </c>
      <c r="B81" s="4" t="s">
        <v>17</v>
      </c>
      <c r="C81" s="2" t="str">
        <f t="shared" si="2"/>
        <v>Slippers</v>
      </c>
      <c r="D81" s="4" t="s">
        <v>33</v>
      </c>
      <c r="E81" s="2" t="str">
        <f t="shared" si="3"/>
        <v>Formal</v>
      </c>
      <c r="F81" s="4" t="s">
        <v>9</v>
      </c>
      <c r="G81" s="4" t="s">
        <v>73</v>
      </c>
      <c r="H81" s="4" t="str">
        <f>PROPER(Shoe_Sales[[#This Row],[Brand]])</f>
        <v>Timberland</v>
      </c>
      <c r="I81" s="4" t="s">
        <v>35</v>
      </c>
      <c r="J81" s="5">
        <v>15</v>
      </c>
      <c r="K81" s="4" t="s">
        <v>80</v>
      </c>
      <c r="L81" s="12">
        <f>VLOOKUP(Shoe_Sales[[#This Row],[Product Cleaned]],Price!$A$2:$C$9,2,FALSE)</f>
        <v>119</v>
      </c>
      <c r="M81" s="12">
        <f>VLOOKUP(Shoe_Sales[[#This Row],[Product Cleaned]],Price!$A$2:$C$9,3,0)</f>
        <v>67</v>
      </c>
      <c r="N81" s="12">
        <f>(Shoe_Sales[[#This Row],[Quantity]]*Shoe_Sales[[#This Row],[Selling Price]])</f>
        <v>1785</v>
      </c>
      <c r="O81" s="12">
        <f>(Shoe_Sales[[#This Row],[Quantity]]*Shoe_Sales[[#This Row],[Cost Price]])</f>
        <v>1005</v>
      </c>
      <c r="P81" s="12">
        <f>(Shoe_Sales[[#This Row],[Revenue]]-Shoe_Sales[[#This Row],[Cost]])</f>
        <v>780</v>
      </c>
      <c r="Q81" s="15">
        <f>(Shoe_Sales[[#This Row],[Profit]]/Shoe_Sales[[#This Row],[Revenue]])</f>
        <v>0.43697478991596639</v>
      </c>
    </row>
    <row r="82" spans="1:17" x14ac:dyDescent="0.25">
      <c r="A82" s="8">
        <v>46090</v>
      </c>
      <c r="B82" s="2" t="s">
        <v>65</v>
      </c>
      <c r="C82" s="2" t="str">
        <f t="shared" si="2"/>
        <v>Canvas</v>
      </c>
      <c r="D82" s="2" t="s">
        <v>52</v>
      </c>
      <c r="E82" s="2" t="str">
        <f t="shared" si="3"/>
        <v>Casual</v>
      </c>
      <c r="F82" s="2" t="s">
        <v>14</v>
      </c>
      <c r="G82" s="2" t="s">
        <v>25</v>
      </c>
      <c r="H82" s="2" t="str">
        <f>PROPER(Shoe_Sales[[#This Row],[Brand]])</f>
        <v>Zara</v>
      </c>
      <c r="I82" s="2" t="s">
        <v>61</v>
      </c>
      <c r="J82" s="3">
        <v>10</v>
      </c>
      <c r="K82" s="2" t="s">
        <v>79</v>
      </c>
      <c r="L82" s="12">
        <f>VLOOKUP(Shoe_Sales[[#This Row],[Product Cleaned]],Price!$A$2:$C$9,2,FALSE)</f>
        <v>128</v>
      </c>
      <c r="M82" s="12">
        <f>VLOOKUP(Shoe_Sales[[#This Row],[Product Cleaned]],Price!$A$2:$C$9,3,0)</f>
        <v>72</v>
      </c>
      <c r="N82" s="12">
        <f>(Shoe_Sales[[#This Row],[Quantity]]*Shoe_Sales[[#This Row],[Selling Price]])</f>
        <v>1280</v>
      </c>
      <c r="O82" s="12">
        <f>(Shoe_Sales[[#This Row],[Quantity]]*Shoe_Sales[[#This Row],[Cost Price]])</f>
        <v>720</v>
      </c>
      <c r="P82" s="12">
        <f>(Shoe_Sales[[#This Row],[Revenue]]-Shoe_Sales[[#This Row],[Cost]])</f>
        <v>560</v>
      </c>
      <c r="Q82" s="15">
        <f>(Shoe_Sales[[#This Row],[Profit]]/Shoe_Sales[[#This Row],[Revenue]])</f>
        <v>0.4375</v>
      </c>
    </row>
    <row r="83" spans="1:17" x14ac:dyDescent="0.25">
      <c r="A83" s="9">
        <v>46117</v>
      </c>
      <c r="B83" s="4" t="s">
        <v>55</v>
      </c>
      <c r="C83" s="2" t="str">
        <f t="shared" si="2"/>
        <v>Boots</v>
      </c>
      <c r="D83" s="4" t="s">
        <v>28</v>
      </c>
      <c r="E83" s="2" t="str">
        <f t="shared" si="3"/>
        <v>Utility</v>
      </c>
      <c r="F83" s="4" t="s">
        <v>14</v>
      </c>
      <c r="G83" s="4" t="s">
        <v>53</v>
      </c>
      <c r="H83" s="4" t="str">
        <f>PROPER(Shoe_Sales[[#This Row],[Brand]])</f>
        <v>Zara</v>
      </c>
      <c r="I83" s="4" t="s">
        <v>46</v>
      </c>
      <c r="J83" s="5">
        <v>4</v>
      </c>
      <c r="K83" s="4" t="s">
        <v>79</v>
      </c>
      <c r="L83" s="12">
        <f>VLOOKUP(Shoe_Sales[[#This Row],[Product Cleaned]],Price!$A$2:$C$9,2,FALSE)</f>
        <v>76</v>
      </c>
      <c r="M83" s="12">
        <f>VLOOKUP(Shoe_Sales[[#This Row],[Product Cleaned]],Price!$A$2:$C$9,3,0)</f>
        <v>39</v>
      </c>
      <c r="N83" s="12">
        <f>(Shoe_Sales[[#This Row],[Quantity]]*Shoe_Sales[[#This Row],[Selling Price]])</f>
        <v>304</v>
      </c>
      <c r="O83" s="12">
        <f>(Shoe_Sales[[#This Row],[Quantity]]*Shoe_Sales[[#This Row],[Cost Price]])</f>
        <v>156</v>
      </c>
      <c r="P83" s="12">
        <f>(Shoe_Sales[[#This Row],[Revenue]]-Shoe_Sales[[#This Row],[Cost]])</f>
        <v>148</v>
      </c>
      <c r="Q83" s="15">
        <f>(Shoe_Sales[[#This Row],[Profit]]/Shoe_Sales[[#This Row],[Revenue]])</f>
        <v>0.48684210526315791</v>
      </c>
    </row>
    <row r="84" spans="1:17" x14ac:dyDescent="0.25">
      <c r="A84" s="8">
        <v>46097</v>
      </c>
      <c r="B84" s="2" t="s">
        <v>27</v>
      </c>
      <c r="C84" s="2" t="str">
        <f t="shared" si="2"/>
        <v>Boots</v>
      </c>
      <c r="D84" s="2" t="s">
        <v>13</v>
      </c>
      <c r="E84" s="2" t="str">
        <f t="shared" si="3"/>
        <v>Casual</v>
      </c>
      <c r="F84" s="2" t="s">
        <v>29</v>
      </c>
      <c r="G84" s="2" t="s">
        <v>66</v>
      </c>
      <c r="H84" s="2" t="str">
        <f>PROPER(Shoe_Sales[[#This Row],[Brand]])</f>
        <v>Steve Madden</v>
      </c>
      <c r="I84" s="2" t="s">
        <v>37</v>
      </c>
      <c r="J84" s="3">
        <v>7</v>
      </c>
      <c r="K84" s="2" t="s">
        <v>82</v>
      </c>
      <c r="L84" s="12">
        <f>VLOOKUP(Shoe_Sales[[#This Row],[Product Cleaned]],Price!$A$2:$C$9,2,FALSE)</f>
        <v>76</v>
      </c>
      <c r="M84" s="12">
        <f>VLOOKUP(Shoe_Sales[[#This Row],[Product Cleaned]],Price!$A$2:$C$9,3,0)</f>
        <v>39</v>
      </c>
      <c r="N84" s="12">
        <f>(Shoe_Sales[[#This Row],[Quantity]]*Shoe_Sales[[#This Row],[Selling Price]])</f>
        <v>532</v>
      </c>
      <c r="O84" s="12">
        <f>(Shoe_Sales[[#This Row],[Quantity]]*Shoe_Sales[[#This Row],[Cost Price]])</f>
        <v>273</v>
      </c>
      <c r="P84" s="12">
        <f>(Shoe_Sales[[#This Row],[Revenue]]-Shoe_Sales[[#This Row],[Cost]])</f>
        <v>259</v>
      </c>
      <c r="Q84" s="15">
        <f>(Shoe_Sales[[#This Row],[Profit]]/Shoe_Sales[[#This Row],[Revenue]])</f>
        <v>0.48684210526315791</v>
      </c>
    </row>
    <row r="85" spans="1:17" x14ac:dyDescent="0.25">
      <c r="A85" s="9">
        <v>46041</v>
      </c>
      <c r="B85" s="4" t="s">
        <v>42</v>
      </c>
      <c r="C85" s="2" t="str">
        <f t="shared" si="2"/>
        <v>Derby</v>
      </c>
      <c r="D85" s="4" t="s">
        <v>56</v>
      </c>
      <c r="E85" s="2" t="str">
        <f t="shared" si="3"/>
        <v>Utility</v>
      </c>
      <c r="F85" s="4" t="s">
        <v>24</v>
      </c>
      <c r="G85" s="4" t="s">
        <v>15</v>
      </c>
      <c r="H85" s="4" t="str">
        <f>PROPER(Shoe_Sales[[#This Row],[Brand]])</f>
        <v>Steve Madden</v>
      </c>
      <c r="I85" s="4" t="s">
        <v>43</v>
      </c>
      <c r="J85" s="5">
        <v>7</v>
      </c>
      <c r="K85" s="4" t="s">
        <v>81</v>
      </c>
      <c r="L85" s="12">
        <f>VLOOKUP(Shoe_Sales[[#This Row],[Product Cleaned]],Price!$A$2:$C$9,2,FALSE)</f>
        <v>32</v>
      </c>
      <c r="M85" s="12">
        <f>VLOOKUP(Shoe_Sales[[#This Row],[Product Cleaned]],Price!$A$2:$C$9,3,0)</f>
        <v>14</v>
      </c>
      <c r="N85" s="12">
        <f>(Shoe_Sales[[#This Row],[Quantity]]*Shoe_Sales[[#This Row],[Selling Price]])</f>
        <v>224</v>
      </c>
      <c r="O85" s="12">
        <f>(Shoe_Sales[[#This Row],[Quantity]]*Shoe_Sales[[#This Row],[Cost Price]])</f>
        <v>98</v>
      </c>
      <c r="P85" s="12">
        <f>(Shoe_Sales[[#This Row],[Revenue]]-Shoe_Sales[[#This Row],[Cost]])</f>
        <v>126</v>
      </c>
      <c r="Q85" s="15">
        <f>(Shoe_Sales[[#This Row],[Profit]]/Shoe_Sales[[#This Row],[Revenue]])</f>
        <v>0.5625</v>
      </c>
    </row>
    <row r="86" spans="1:17" x14ac:dyDescent="0.25">
      <c r="A86" s="8">
        <v>46187</v>
      </c>
      <c r="B86" s="2" t="s">
        <v>71</v>
      </c>
      <c r="C86" s="2" t="str">
        <f t="shared" si="2"/>
        <v>Boots</v>
      </c>
      <c r="D86" s="2" t="s">
        <v>39</v>
      </c>
      <c r="E86" s="2" t="str">
        <f t="shared" si="3"/>
        <v>Formal</v>
      </c>
      <c r="F86" s="2" t="s">
        <v>29</v>
      </c>
      <c r="G86" s="2" t="s">
        <v>53</v>
      </c>
      <c r="H86" s="2" t="str">
        <f>PROPER(Shoe_Sales[[#This Row],[Brand]])</f>
        <v>Zara</v>
      </c>
      <c r="I86" s="2" t="s">
        <v>11</v>
      </c>
      <c r="J86" s="3">
        <v>13</v>
      </c>
      <c r="K86" s="2" t="s">
        <v>82</v>
      </c>
      <c r="L86" s="12">
        <f>VLOOKUP(Shoe_Sales[[#This Row],[Product Cleaned]],Price!$A$2:$C$9,2,FALSE)</f>
        <v>76</v>
      </c>
      <c r="M86" s="12">
        <f>VLOOKUP(Shoe_Sales[[#This Row],[Product Cleaned]],Price!$A$2:$C$9,3,0)</f>
        <v>39</v>
      </c>
      <c r="N86" s="12">
        <f>(Shoe_Sales[[#This Row],[Quantity]]*Shoe_Sales[[#This Row],[Selling Price]])</f>
        <v>988</v>
      </c>
      <c r="O86" s="12">
        <f>(Shoe_Sales[[#This Row],[Quantity]]*Shoe_Sales[[#This Row],[Cost Price]])</f>
        <v>507</v>
      </c>
      <c r="P86" s="12">
        <f>(Shoe_Sales[[#This Row],[Revenue]]-Shoe_Sales[[#This Row],[Cost]])</f>
        <v>481</v>
      </c>
      <c r="Q86" s="15">
        <f>(Shoe_Sales[[#This Row],[Profit]]/Shoe_Sales[[#This Row],[Revenue]])</f>
        <v>0.48684210526315791</v>
      </c>
    </row>
    <row r="87" spans="1:17" x14ac:dyDescent="0.25">
      <c r="A87" s="9">
        <v>46144</v>
      </c>
      <c r="B87" s="4" t="s">
        <v>51</v>
      </c>
      <c r="C87" s="2" t="str">
        <f t="shared" si="2"/>
        <v>Loafers</v>
      </c>
      <c r="D87" s="4" t="s">
        <v>56</v>
      </c>
      <c r="E87" s="2" t="str">
        <f t="shared" si="3"/>
        <v>Utility</v>
      </c>
      <c r="F87" s="4" t="s">
        <v>29</v>
      </c>
      <c r="G87" s="4" t="s">
        <v>30</v>
      </c>
      <c r="H87" s="4" t="str">
        <f>PROPER(Shoe_Sales[[#This Row],[Brand]])</f>
        <v>Timberland</v>
      </c>
      <c r="I87" s="4" t="s">
        <v>43</v>
      </c>
      <c r="J87" s="5">
        <v>12</v>
      </c>
      <c r="K87" s="4" t="s">
        <v>79</v>
      </c>
      <c r="L87" s="12">
        <f>VLOOKUP(Shoe_Sales[[#This Row],[Product Cleaned]],Price!$A$2:$C$9,2,FALSE)</f>
        <v>54</v>
      </c>
      <c r="M87" s="12">
        <f>VLOOKUP(Shoe_Sales[[#This Row],[Product Cleaned]],Price!$A$2:$C$9,3,0)</f>
        <v>28</v>
      </c>
      <c r="N87" s="12">
        <f>(Shoe_Sales[[#This Row],[Quantity]]*Shoe_Sales[[#This Row],[Selling Price]])</f>
        <v>648</v>
      </c>
      <c r="O87" s="12">
        <f>(Shoe_Sales[[#This Row],[Quantity]]*Shoe_Sales[[#This Row],[Cost Price]])</f>
        <v>336</v>
      </c>
      <c r="P87" s="12">
        <f>(Shoe_Sales[[#This Row],[Revenue]]-Shoe_Sales[[#This Row],[Cost]])</f>
        <v>312</v>
      </c>
      <c r="Q87" s="15">
        <f>(Shoe_Sales[[#This Row],[Profit]]/Shoe_Sales[[#This Row],[Revenue]])</f>
        <v>0.48148148148148145</v>
      </c>
    </row>
    <row r="88" spans="1:17" x14ac:dyDescent="0.25">
      <c r="A88" s="8">
        <v>46057</v>
      </c>
      <c r="B88" s="2" t="s">
        <v>27</v>
      </c>
      <c r="C88" s="2" t="str">
        <f t="shared" si="2"/>
        <v>Boots</v>
      </c>
      <c r="D88" s="2" t="s">
        <v>52</v>
      </c>
      <c r="E88" s="2" t="str">
        <f t="shared" si="3"/>
        <v>Casual</v>
      </c>
      <c r="F88" s="2" t="s">
        <v>19</v>
      </c>
      <c r="G88" s="2" t="s">
        <v>73</v>
      </c>
      <c r="H88" s="2" t="str">
        <f>PROPER(Shoe_Sales[[#This Row],[Brand]])</f>
        <v>Timberland</v>
      </c>
      <c r="I88" s="2" t="s">
        <v>16</v>
      </c>
      <c r="J88" s="3">
        <v>14</v>
      </c>
      <c r="K88" s="2" t="s">
        <v>81</v>
      </c>
      <c r="L88" s="12">
        <f>VLOOKUP(Shoe_Sales[[#This Row],[Product Cleaned]],Price!$A$2:$C$9,2,FALSE)</f>
        <v>76</v>
      </c>
      <c r="M88" s="12">
        <f>VLOOKUP(Shoe_Sales[[#This Row],[Product Cleaned]],Price!$A$2:$C$9,3,0)</f>
        <v>39</v>
      </c>
      <c r="N88" s="12">
        <f>(Shoe_Sales[[#This Row],[Quantity]]*Shoe_Sales[[#This Row],[Selling Price]])</f>
        <v>1064</v>
      </c>
      <c r="O88" s="12">
        <f>(Shoe_Sales[[#This Row],[Quantity]]*Shoe_Sales[[#This Row],[Cost Price]])</f>
        <v>546</v>
      </c>
      <c r="P88" s="12">
        <f>(Shoe_Sales[[#This Row],[Revenue]]-Shoe_Sales[[#This Row],[Cost]])</f>
        <v>518</v>
      </c>
      <c r="Q88" s="15">
        <f>(Shoe_Sales[[#This Row],[Profit]]/Shoe_Sales[[#This Row],[Revenue]])</f>
        <v>0.48684210526315791</v>
      </c>
    </row>
    <row r="89" spans="1:17" x14ac:dyDescent="0.25">
      <c r="A89" s="9">
        <v>46067</v>
      </c>
      <c r="B89" s="4" t="s">
        <v>74</v>
      </c>
      <c r="C89" s="2" t="str">
        <f t="shared" si="2"/>
        <v>Oxford</v>
      </c>
      <c r="D89" s="4" t="s">
        <v>39</v>
      </c>
      <c r="E89" s="2" t="str">
        <f t="shared" si="3"/>
        <v>Formal</v>
      </c>
      <c r="F89" s="4" t="s">
        <v>14</v>
      </c>
      <c r="G89" s="4" t="s">
        <v>60</v>
      </c>
      <c r="H89" s="4" t="str">
        <f>PROPER(Shoe_Sales[[#This Row],[Brand]])</f>
        <v>Clarks</v>
      </c>
      <c r="I89" s="4" t="s">
        <v>43</v>
      </c>
      <c r="J89" s="5">
        <v>8</v>
      </c>
      <c r="K89" s="4" t="s">
        <v>81</v>
      </c>
      <c r="L89" s="12">
        <f>VLOOKUP(Shoe_Sales[[#This Row],[Product Cleaned]],Price!$A$2:$C$9,2,FALSE)</f>
        <v>105</v>
      </c>
      <c r="M89" s="12">
        <f>VLOOKUP(Shoe_Sales[[#This Row],[Product Cleaned]],Price!$A$2:$C$9,3,0)</f>
        <v>58</v>
      </c>
      <c r="N89" s="12">
        <f>(Shoe_Sales[[#This Row],[Quantity]]*Shoe_Sales[[#This Row],[Selling Price]])</f>
        <v>840</v>
      </c>
      <c r="O89" s="12">
        <f>(Shoe_Sales[[#This Row],[Quantity]]*Shoe_Sales[[#This Row],[Cost Price]])</f>
        <v>464</v>
      </c>
      <c r="P89" s="12">
        <f>(Shoe_Sales[[#This Row],[Revenue]]-Shoe_Sales[[#This Row],[Cost]])</f>
        <v>376</v>
      </c>
      <c r="Q89" s="15">
        <f>(Shoe_Sales[[#This Row],[Profit]]/Shoe_Sales[[#This Row],[Revenue]])</f>
        <v>0.44761904761904764</v>
      </c>
    </row>
    <row r="90" spans="1:17" x14ac:dyDescent="0.25">
      <c r="A90" s="8">
        <v>46099</v>
      </c>
      <c r="B90" s="2" t="s">
        <v>55</v>
      </c>
      <c r="C90" s="2" t="str">
        <f t="shared" si="2"/>
        <v>Boots</v>
      </c>
      <c r="D90" s="2" t="s">
        <v>33</v>
      </c>
      <c r="E90" s="2" t="str">
        <f t="shared" si="3"/>
        <v>Formal</v>
      </c>
      <c r="F90" s="2" t="s">
        <v>29</v>
      </c>
      <c r="G90" s="2" t="s">
        <v>34</v>
      </c>
      <c r="H90" s="2" t="str">
        <f>PROPER(Shoe_Sales[[#This Row],[Brand]])</f>
        <v>Clarks</v>
      </c>
      <c r="I90" s="2" t="s">
        <v>46</v>
      </c>
      <c r="J90" s="3">
        <v>3</v>
      </c>
      <c r="K90" s="2" t="s">
        <v>79</v>
      </c>
      <c r="L90" s="12">
        <f>VLOOKUP(Shoe_Sales[[#This Row],[Product Cleaned]],Price!$A$2:$C$9,2,FALSE)</f>
        <v>76</v>
      </c>
      <c r="M90" s="12">
        <f>VLOOKUP(Shoe_Sales[[#This Row],[Product Cleaned]],Price!$A$2:$C$9,3,0)</f>
        <v>39</v>
      </c>
      <c r="N90" s="12">
        <f>(Shoe_Sales[[#This Row],[Quantity]]*Shoe_Sales[[#This Row],[Selling Price]])</f>
        <v>228</v>
      </c>
      <c r="O90" s="12">
        <f>(Shoe_Sales[[#This Row],[Quantity]]*Shoe_Sales[[#This Row],[Cost Price]])</f>
        <v>117</v>
      </c>
      <c r="P90" s="12">
        <f>(Shoe_Sales[[#This Row],[Revenue]]-Shoe_Sales[[#This Row],[Cost]])</f>
        <v>111</v>
      </c>
      <c r="Q90" s="15">
        <f>(Shoe_Sales[[#This Row],[Profit]]/Shoe_Sales[[#This Row],[Revenue]])</f>
        <v>0.48684210526315791</v>
      </c>
    </row>
    <row r="91" spans="1:17" x14ac:dyDescent="0.25">
      <c r="A91" s="9">
        <v>46090</v>
      </c>
      <c r="B91" s="4" t="s">
        <v>42</v>
      </c>
      <c r="C91" s="2" t="str">
        <f t="shared" si="2"/>
        <v>Derby</v>
      </c>
      <c r="D91" s="4" t="s">
        <v>56</v>
      </c>
      <c r="E91" s="2" t="str">
        <f t="shared" si="3"/>
        <v>Utility</v>
      </c>
      <c r="F91" s="4" t="s">
        <v>9</v>
      </c>
      <c r="G91" s="4" t="s">
        <v>45</v>
      </c>
      <c r="H91" s="4" t="str">
        <f>PROPER(Shoe_Sales[[#This Row],[Brand]])</f>
        <v>Steve Madden</v>
      </c>
      <c r="I91" s="4" t="s">
        <v>21</v>
      </c>
      <c r="J91" s="5">
        <v>8</v>
      </c>
      <c r="K91" s="4" t="s">
        <v>80</v>
      </c>
      <c r="L91" s="12">
        <f>VLOOKUP(Shoe_Sales[[#This Row],[Product Cleaned]],Price!$A$2:$C$9,2,FALSE)</f>
        <v>32</v>
      </c>
      <c r="M91" s="12">
        <f>VLOOKUP(Shoe_Sales[[#This Row],[Product Cleaned]],Price!$A$2:$C$9,3,0)</f>
        <v>14</v>
      </c>
      <c r="N91" s="12">
        <f>(Shoe_Sales[[#This Row],[Quantity]]*Shoe_Sales[[#This Row],[Selling Price]])</f>
        <v>256</v>
      </c>
      <c r="O91" s="12">
        <f>(Shoe_Sales[[#This Row],[Quantity]]*Shoe_Sales[[#This Row],[Cost Price]])</f>
        <v>112</v>
      </c>
      <c r="P91" s="12">
        <f>(Shoe_Sales[[#This Row],[Revenue]]-Shoe_Sales[[#This Row],[Cost]])</f>
        <v>144</v>
      </c>
      <c r="Q91" s="15">
        <f>(Shoe_Sales[[#This Row],[Profit]]/Shoe_Sales[[#This Row],[Revenue]])</f>
        <v>0.5625</v>
      </c>
    </row>
    <row r="92" spans="1:17" x14ac:dyDescent="0.25">
      <c r="A92" s="8">
        <v>46111</v>
      </c>
      <c r="B92" s="2" t="s">
        <v>17</v>
      </c>
      <c r="C92" s="2" t="str">
        <f t="shared" si="2"/>
        <v>Slippers</v>
      </c>
      <c r="D92" s="2" t="s">
        <v>28</v>
      </c>
      <c r="E92" s="2" t="str">
        <f t="shared" si="3"/>
        <v>Utility</v>
      </c>
      <c r="F92" s="2" t="s">
        <v>29</v>
      </c>
      <c r="G92" s="2" t="s">
        <v>40</v>
      </c>
      <c r="H92" s="2" t="str">
        <f>PROPER(Shoe_Sales[[#This Row],[Brand]])</f>
        <v>Zara</v>
      </c>
      <c r="I92" s="2" t="s">
        <v>21</v>
      </c>
      <c r="J92" s="3">
        <v>14</v>
      </c>
      <c r="K92" s="2" t="s">
        <v>79</v>
      </c>
      <c r="L92" s="12">
        <f>VLOOKUP(Shoe_Sales[[#This Row],[Product Cleaned]],Price!$A$2:$C$9,2,FALSE)</f>
        <v>119</v>
      </c>
      <c r="M92" s="12">
        <f>VLOOKUP(Shoe_Sales[[#This Row],[Product Cleaned]],Price!$A$2:$C$9,3,0)</f>
        <v>67</v>
      </c>
      <c r="N92" s="12">
        <f>(Shoe_Sales[[#This Row],[Quantity]]*Shoe_Sales[[#This Row],[Selling Price]])</f>
        <v>1666</v>
      </c>
      <c r="O92" s="12">
        <f>(Shoe_Sales[[#This Row],[Quantity]]*Shoe_Sales[[#This Row],[Cost Price]])</f>
        <v>938</v>
      </c>
      <c r="P92" s="12">
        <f>(Shoe_Sales[[#This Row],[Revenue]]-Shoe_Sales[[#This Row],[Cost]])</f>
        <v>728</v>
      </c>
      <c r="Q92" s="15">
        <f>(Shoe_Sales[[#This Row],[Profit]]/Shoe_Sales[[#This Row],[Revenue]])</f>
        <v>0.43697478991596639</v>
      </c>
    </row>
    <row r="93" spans="1:17" x14ac:dyDescent="0.25">
      <c r="A93" s="9">
        <v>46204</v>
      </c>
      <c r="B93" s="4" t="s">
        <v>75</v>
      </c>
      <c r="C93" s="2" t="str">
        <f t="shared" si="2"/>
        <v>Brogues</v>
      </c>
      <c r="D93" s="4" t="s">
        <v>33</v>
      </c>
      <c r="E93" s="2" t="str">
        <f t="shared" si="3"/>
        <v>Formal</v>
      </c>
      <c r="F93" s="4" t="s">
        <v>29</v>
      </c>
      <c r="G93" s="4" t="s">
        <v>66</v>
      </c>
      <c r="H93" s="4" t="str">
        <f>PROPER(Shoe_Sales[[#This Row],[Brand]])</f>
        <v>Steve Madden</v>
      </c>
      <c r="I93" s="4" t="s">
        <v>11</v>
      </c>
      <c r="J93" s="5">
        <v>7</v>
      </c>
      <c r="K93" s="4" t="s">
        <v>82</v>
      </c>
      <c r="L93" s="12">
        <f>VLOOKUP(Shoe_Sales[[#This Row],[Product Cleaned]],Price!$A$2:$C$9,2,FALSE)</f>
        <v>112</v>
      </c>
      <c r="M93" s="12">
        <f>VLOOKUP(Shoe_Sales[[#This Row],[Product Cleaned]],Price!$A$2:$C$9,3,0)</f>
        <v>64</v>
      </c>
      <c r="N93" s="12">
        <f>(Shoe_Sales[[#This Row],[Quantity]]*Shoe_Sales[[#This Row],[Selling Price]])</f>
        <v>784</v>
      </c>
      <c r="O93" s="12">
        <f>(Shoe_Sales[[#This Row],[Quantity]]*Shoe_Sales[[#This Row],[Cost Price]])</f>
        <v>448</v>
      </c>
      <c r="P93" s="12">
        <f>(Shoe_Sales[[#This Row],[Revenue]]-Shoe_Sales[[#This Row],[Cost]])</f>
        <v>336</v>
      </c>
      <c r="Q93" s="15">
        <f>(Shoe_Sales[[#This Row],[Profit]]/Shoe_Sales[[#This Row],[Revenue]])</f>
        <v>0.42857142857142855</v>
      </c>
    </row>
    <row r="94" spans="1:17" x14ac:dyDescent="0.25">
      <c r="A94" s="8">
        <v>46246</v>
      </c>
      <c r="B94" s="2" t="s">
        <v>70</v>
      </c>
      <c r="C94" s="2" t="str">
        <f t="shared" si="2"/>
        <v>Loafers</v>
      </c>
      <c r="D94" s="2" t="s">
        <v>72</v>
      </c>
      <c r="E94" s="2" t="str">
        <f t="shared" si="3"/>
        <v>Utility</v>
      </c>
      <c r="F94" s="2" t="s">
        <v>14</v>
      </c>
      <c r="G94" s="2" t="s">
        <v>34</v>
      </c>
      <c r="H94" s="2" t="str">
        <f>PROPER(Shoe_Sales[[#This Row],[Brand]])</f>
        <v>Clarks</v>
      </c>
      <c r="I94" s="2" t="s">
        <v>26</v>
      </c>
      <c r="J94" s="3">
        <v>5</v>
      </c>
      <c r="K94" s="2" t="s">
        <v>81</v>
      </c>
      <c r="L94" s="12">
        <f>VLOOKUP(Shoe_Sales[[#This Row],[Product Cleaned]],Price!$A$2:$C$9,2,FALSE)</f>
        <v>54</v>
      </c>
      <c r="M94" s="12">
        <f>VLOOKUP(Shoe_Sales[[#This Row],[Product Cleaned]],Price!$A$2:$C$9,3,0)</f>
        <v>28</v>
      </c>
      <c r="N94" s="12">
        <f>(Shoe_Sales[[#This Row],[Quantity]]*Shoe_Sales[[#This Row],[Selling Price]])</f>
        <v>270</v>
      </c>
      <c r="O94" s="12">
        <f>(Shoe_Sales[[#This Row],[Quantity]]*Shoe_Sales[[#This Row],[Cost Price]])</f>
        <v>140</v>
      </c>
      <c r="P94" s="12">
        <f>(Shoe_Sales[[#This Row],[Revenue]]-Shoe_Sales[[#This Row],[Cost]])</f>
        <v>130</v>
      </c>
      <c r="Q94" s="15">
        <f>(Shoe_Sales[[#This Row],[Profit]]/Shoe_Sales[[#This Row],[Revenue]])</f>
        <v>0.48148148148148145</v>
      </c>
    </row>
    <row r="95" spans="1:17" x14ac:dyDescent="0.25">
      <c r="A95" s="9">
        <v>46033</v>
      </c>
      <c r="B95" s="4" t="s">
        <v>32</v>
      </c>
      <c r="C95" s="2" t="str">
        <f t="shared" si="2"/>
        <v>Oxford</v>
      </c>
      <c r="D95" s="4" t="s">
        <v>39</v>
      </c>
      <c r="E95" s="2" t="str">
        <f t="shared" si="3"/>
        <v>Formal</v>
      </c>
      <c r="F95" s="4" t="s">
        <v>29</v>
      </c>
      <c r="G95" s="4" t="s">
        <v>66</v>
      </c>
      <c r="H95" s="4" t="str">
        <f>PROPER(Shoe_Sales[[#This Row],[Brand]])</f>
        <v>Steve Madden</v>
      </c>
      <c r="I95" s="4" t="s">
        <v>11</v>
      </c>
      <c r="J95" s="5">
        <v>14</v>
      </c>
      <c r="K95" s="4" t="s">
        <v>81</v>
      </c>
      <c r="L95" s="12">
        <f>VLOOKUP(Shoe_Sales[[#This Row],[Product Cleaned]],Price!$A$2:$C$9,2,FALSE)</f>
        <v>105</v>
      </c>
      <c r="M95" s="12">
        <f>VLOOKUP(Shoe_Sales[[#This Row],[Product Cleaned]],Price!$A$2:$C$9,3,0)</f>
        <v>58</v>
      </c>
      <c r="N95" s="12">
        <f>(Shoe_Sales[[#This Row],[Quantity]]*Shoe_Sales[[#This Row],[Selling Price]])</f>
        <v>1470</v>
      </c>
      <c r="O95" s="12">
        <f>(Shoe_Sales[[#This Row],[Quantity]]*Shoe_Sales[[#This Row],[Cost Price]])</f>
        <v>812</v>
      </c>
      <c r="P95" s="12">
        <f>(Shoe_Sales[[#This Row],[Revenue]]-Shoe_Sales[[#This Row],[Cost]])</f>
        <v>658</v>
      </c>
      <c r="Q95" s="15">
        <f>(Shoe_Sales[[#This Row],[Profit]]/Shoe_Sales[[#This Row],[Revenue]])</f>
        <v>0.44761904761904764</v>
      </c>
    </row>
    <row r="96" spans="1:17" x14ac:dyDescent="0.25">
      <c r="A96" s="8">
        <v>46203</v>
      </c>
      <c r="B96" s="2" t="s">
        <v>67</v>
      </c>
      <c r="C96" s="2" t="str">
        <f t="shared" si="2"/>
        <v>Slippers</v>
      </c>
      <c r="D96" s="2" t="s">
        <v>48</v>
      </c>
      <c r="E96" s="2" t="str">
        <f t="shared" si="3"/>
        <v>Open</v>
      </c>
      <c r="F96" s="2" t="s">
        <v>19</v>
      </c>
      <c r="G96" s="2" t="s">
        <v>10</v>
      </c>
      <c r="H96" s="2" t="str">
        <f>PROPER(Shoe_Sales[[#This Row],[Brand]])</f>
        <v>Clarks</v>
      </c>
      <c r="I96" s="2" t="s">
        <v>31</v>
      </c>
      <c r="J96" s="3">
        <v>6</v>
      </c>
      <c r="K96" s="2" t="s">
        <v>81</v>
      </c>
      <c r="L96" s="12">
        <f>VLOOKUP(Shoe_Sales[[#This Row],[Product Cleaned]],Price!$A$2:$C$9,2,FALSE)</f>
        <v>119</v>
      </c>
      <c r="M96" s="12">
        <f>VLOOKUP(Shoe_Sales[[#This Row],[Product Cleaned]],Price!$A$2:$C$9,3,0)</f>
        <v>67</v>
      </c>
      <c r="N96" s="12">
        <f>(Shoe_Sales[[#This Row],[Quantity]]*Shoe_Sales[[#This Row],[Selling Price]])</f>
        <v>714</v>
      </c>
      <c r="O96" s="12">
        <f>(Shoe_Sales[[#This Row],[Quantity]]*Shoe_Sales[[#This Row],[Cost Price]])</f>
        <v>402</v>
      </c>
      <c r="P96" s="12">
        <f>(Shoe_Sales[[#This Row],[Revenue]]-Shoe_Sales[[#This Row],[Cost]])</f>
        <v>312</v>
      </c>
      <c r="Q96" s="15">
        <f>(Shoe_Sales[[#This Row],[Profit]]/Shoe_Sales[[#This Row],[Revenue]])</f>
        <v>0.43697478991596639</v>
      </c>
    </row>
    <row r="97" spans="1:17" x14ac:dyDescent="0.25">
      <c r="A97" s="9">
        <v>46044</v>
      </c>
      <c r="B97" s="4" t="s">
        <v>17</v>
      </c>
      <c r="C97" s="2" t="str">
        <f t="shared" si="2"/>
        <v>Slippers</v>
      </c>
      <c r="D97" s="4" t="s">
        <v>23</v>
      </c>
      <c r="E97" s="2" t="str">
        <f t="shared" si="3"/>
        <v>Casual</v>
      </c>
      <c r="F97" s="4" t="s">
        <v>19</v>
      </c>
      <c r="G97" s="4" t="s">
        <v>49</v>
      </c>
      <c r="H97" s="4" t="str">
        <f>PROPER(Shoe_Sales[[#This Row],[Brand]])</f>
        <v>Nike</v>
      </c>
      <c r="I97" s="4" t="s">
        <v>11</v>
      </c>
      <c r="J97" s="5">
        <v>7</v>
      </c>
      <c r="K97" s="4" t="s">
        <v>80</v>
      </c>
      <c r="L97" s="12">
        <f>VLOOKUP(Shoe_Sales[[#This Row],[Product Cleaned]],Price!$A$2:$C$9,2,FALSE)</f>
        <v>119</v>
      </c>
      <c r="M97" s="12">
        <f>VLOOKUP(Shoe_Sales[[#This Row],[Product Cleaned]],Price!$A$2:$C$9,3,0)</f>
        <v>67</v>
      </c>
      <c r="N97" s="12">
        <f>(Shoe_Sales[[#This Row],[Quantity]]*Shoe_Sales[[#This Row],[Selling Price]])</f>
        <v>833</v>
      </c>
      <c r="O97" s="12">
        <f>(Shoe_Sales[[#This Row],[Quantity]]*Shoe_Sales[[#This Row],[Cost Price]])</f>
        <v>469</v>
      </c>
      <c r="P97" s="12">
        <f>(Shoe_Sales[[#This Row],[Revenue]]-Shoe_Sales[[#This Row],[Cost]])</f>
        <v>364</v>
      </c>
      <c r="Q97" s="15">
        <f>(Shoe_Sales[[#This Row],[Profit]]/Shoe_Sales[[#This Row],[Revenue]])</f>
        <v>0.43697478991596639</v>
      </c>
    </row>
    <row r="98" spans="1:17" x14ac:dyDescent="0.25">
      <c r="A98" s="8">
        <v>46223</v>
      </c>
      <c r="B98" s="2" t="s">
        <v>51</v>
      </c>
      <c r="C98" s="2" t="str">
        <f t="shared" si="2"/>
        <v>Loafers</v>
      </c>
      <c r="D98" s="2" t="s">
        <v>33</v>
      </c>
      <c r="E98" s="2" t="str">
        <f t="shared" si="3"/>
        <v>Formal</v>
      </c>
      <c r="F98" s="2" t="s">
        <v>29</v>
      </c>
      <c r="G98" s="2" t="s">
        <v>10</v>
      </c>
      <c r="H98" s="2" t="str">
        <f>PROPER(Shoe_Sales[[#This Row],[Brand]])</f>
        <v>Clarks</v>
      </c>
      <c r="I98" s="2" t="s">
        <v>54</v>
      </c>
      <c r="J98" s="3">
        <v>9</v>
      </c>
      <c r="K98" s="2" t="s">
        <v>79</v>
      </c>
      <c r="L98" s="12">
        <f>VLOOKUP(Shoe_Sales[[#This Row],[Product Cleaned]],Price!$A$2:$C$9,2,FALSE)</f>
        <v>54</v>
      </c>
      <c r="M98" s="12">
        <f>VLOOKUP(Shoe_Sales[[#This Row],[Product Cleaned]],Price!$A$2:$C$9,3,0)</f>
        <v>28</v>
      </c>
      <c r="N98" s="12">
        <f>(Shoe_Sales[[#This Row],[Quantity]]*Shoe_Sales[[#This Row],[Selling Price]])</f>
        <v>486</v>
      </c>
      <c r="O98" s="12">
        <f>(Shoe_Sales[[#This Row],[Quantity]]*Shoe_Sales[[#This Row],[Cost Price]])</f>
        <v>252</v>
      </c>
      <c r="P98" s="12">
        <f>(Shoe_Sales[[#This Row],[Revenue]]-Shoe_Sales[[#This Row],[Cost]])</f>
        <v>234</v>
      </c>
      <c r="Q98" s="15">
        <f>(Shoe_Sales[[#This Row],[Profit]]/Shoe_Sales[[#This Row],[Revenue]])</f>
        <v>0.48148148148148145</v>
      </c>
    </row>
    <row r="99" spans="1:17" x14ac:dyDescent="0.25">
      <c r="A99" s="9">
        <v>46118</v>
      </c>
      <c r="B99" s="4" t="s">
        <v>63</v>
      </c>
      <c r="C99" s="2" t="str">
        <f t="shared" si="2"/>
        <v>Monk Straps</v>
      </c>
      <c r="D99" s="4" t="s">
        <v>8</v>
      </c>
      <c r="E99" s="2" t="str">
        <f t="shared" si="3"/>
        <v>Formal</v>
      </c>
      <c r="F99" s="4" t="s">
        <v>24</v>
      </c>
      <c r="G99" s="4" t="s">
        <v>45</v>
      </c>
      <c r="H99" s="4" t="str">
        <f>PROPER(Shoe_Sales[[#This Row],[Brand]])</f>
        <v>Steve Madden</v>
      </c>
      <c r="I99" s="4" t="s">
        <v>21</v>
      </c>
      <c r="J99" s="5">
        <v>10</v>
      </c>
      <c r="K99" s="4" t="s">
        <v>80</v>
      </c>
      <c r="L99" s="12">
        <f>VLOOKUP(Shoe_Sales[[#This Row],[Product Cleaned]],Price!$A$2:$C$9,2,FALSE)</f>
        <v>89</v>
      </c>
      <c r="M99" s="12">
        <f>VLOOKUP(Shoe_Sales[[#This Row],[Product Cleaned]],Price!$A$2:$C$9,3,0)</f>
        <v>47</v>
      </c>
      <c r="N99" s="12">
        <f>(Shoe_Sales[[#This Row],[Quantity]]*Shoe_Sales[[#This Row],[Selling Price]])</f>
        <v>890</v>
      </c>
      <c r="O99" s="12">
        <f>(Shoe_Sales[[#This Row],[Quantity]]*Shoe_Sales[[#This Row],[Cost Price]])</f>
        <v>470</v>
      </c>
      <c r="P99" s="12">
        <f>(Shoe_Sales[[#This Row],[Revenue]]-Shoe_Sales[[#This Row],[Cost]])</f>
        <v>420</v>
      </c>
      <c r="Q99" s="15">
        <f>(Shoe_Sales[[#This Row],[Profit]]/Shoe_Sales[[#This Row],[Revenue]])</f>
        <v>0.47191011235955055</v>
      </c>
    </row>
    <row r="100" spans="1:17" x14ac:dyDescent="0.25">
      <c r="A100" s="8">
        <v>46034</v>
      </c>
      <c r="B100" s="2" t="s">
        <v>36</v>
      </c>
      <c r="C100" s="2" t="str">
        <f t="shared" si="2"/>
        <v>Brogues</v>
      </c>
      <c r="D100" s="2" t="s">
        <v>13</v>
      </c>
      <c r="E100" s="2" t="str">
        <f t="shared" si="3"/>
        <v>Casual</v>
      </c>
      <c r="F100" s="2" t="s">
        <v>19</v>
      </c>
      <c r="G100" s="2" t="s">
        <v>49</v>
      </c>
      <c r="H100" s="2" t="str">
        <f>PROPER(Shoe_Sales[[#This Row],[Brand]])</f>
        <v>Nike</v>
      </c>
      <c r="I100" s="2" t="s">
        <v>61</v>
      </c>
      <c r="J100" s="3">
        <v>6</v>
      </c>
      <c r="K100" s="2" t="s">
        <v>80</v>
      </c>
      <c r="L100" s="12">
        <f>VLOOKUP(Shoe_Sales[[#This Row],[Product Cleaned]],Price!$A$2:$C$9,2,FALSE)</f>
        <v>112</v>
      </c>
      <c r="M100" s="12">
        <f>VLOOKUP(Shoe_Sales[[#This Row],[Product Cleaned]],Price!$A$2:$C$9,3,0)</f>
        <v>64</v>
      </c>
      <c r="N100" s="12">
        <f>(Shoe_Sales[[#This Row],[Quantity]]*Shoe_Sales[[#This Row],[Selling Price]])</f>
        <v>672</v>
      </c>
      <c r="O100" s="12">
        <f>(Shoe_Sales[[#This Row],[Quantity]]*Shoe_Sales[[#This Row],[Cost Price]])</f>
        <v>384</v>
      </c>
      <c r="P100" s="12">
        <f>(Shoe_Sales[[#This Row],[Revenue]]-Shoe_Sales[[#This Row],[Cost]])</f>
        <v>288</v>
      </c>
      <c r="Q100" s="15">
        <f>(Shoe_Sales[[#This Row],[Profit]]/Shoe_Sales[[#This Row],[Revenue]])</f>
        <v>0.42857142857142855</v>
      </c>
    </row>
    <row r="101" spans="1:17" x14ac:dyDescent="0.25">
      <c r="A101" s="9">
        <v>46197</v>
      </c>
      <c r="B101" s="4" t="s">
        <v>32</v>
      </c>
      <c r="C101" s="2" t="str">
        <f t="shared" si="2"/>
        <v>Oxford</v>
      </c>
      <c r="D101" s="4" t="s">
        <v>18</v>
      </c>
      <c r="E101" s="2" t="str">
        <f t="shared" si="3"/>
        <v>Open</v>
      </c>
      <c r="F101" s="4" t="s">
        <v>14</v>
      </c>
      <c r="G101" s="4" t="s">
        <v>60</v>
      </c>
      <c r="H101" s="4" t="str">
        <f>PROPER(Shoe_Sales[[#This Row],[Brand]])</f>
        <v>Clarks</v>
      </c>
      <c r="I101" s="4" t="s">
        <v>26</v>
      </c>
      <c r="J101" s="5">
        <v>12</v>
      </c>
      <c r="K101" s="4" t="s">
        <v>80</v>
      </c>
      <c r="L101" s="12">
        <f>VLOOKUP(Shoe_Sales[[#This Row],[Product Cleaned]],Price!$A$2:$C$9,2,FALSE)</f>
        <v>105</v>
      </c>
      <c r="M101" s="12">
        <f>VLOOKUP(Shoe_Sales[[#This Row],[Product Cleaned]],Price!$A$2:$C$9,3,0)</f>
        <v>58</v>
      </c>
      <c r="N101" s="12">
        <f>(Shoe_Sales[[#This Row],[Quantity]]*Shoe_Sales[[#This Row],[Selling Price]])</f>
        <v>1260</v>
      </c>
      <c r="O101" s="12">
        <f>(Shoe_Sales[[#This Row],[Quantity]]*Shoe_Sales[[#This Row],[Cost Price]])</f>
        <v>696</v>
      </c>
      <c r="P101" s="12">
        <f>(Shoe_Sales[[#This Row],[Revenue]]-Shoe_Sales[[#This Row],[Cost]])</f>
        <v>564</v>
      </c>
      <c r="Q101" s="15">
        <f>(Shoe_Sales[[#This Row],[Profit]]/Shoe_Sales[[#This Row],[Revenue]])</f>
        <v>0.44761904761904764</v>
      </c>
    </row>
    <row r="102" spans="1:17" x14ac:dyDescent="0.25">
      <c r="A102" s="8">
        <v>46101</v>
      </c>
      <c r="B102" s="2" t="s">
        <v>55</v>
      </c>
      <c r="C102" s="2" t="str">
        <f t="shared" si="2"/>
        <v>Boots</v>
      </c>
      <c r="D102" s="2" t="s">
        <v>52</v>
      </c>
      <c r="E102" s="2" t="str">
        <f t="shared" si="3"/>
        <v>Casual</v>
      </c>
      <c r="F102" s="2" t="s">
        <v>14</v>
      </c>
      <c r="G102" s="2" t="s">
        <v>53</v>
      </c>
      <c r="H102" s="2" t="str">
        <f>PROPER(Shoe_Sales[[#This Row],[Brand]])</f>
        <v>Zara</v>
      </c>
      <c r="I102" s="2" t="s">
        <v>37</v>
      </c>
      <c r="J102" s="3">
        <v>4</v>
      </c>
      <c r="K102" s="2" t="s">
        <v>79</v>
      </c>
      <c r="L102" s="12">
        <f>VLOOKUP(Shoe_Sales[[#This Row],[Product Cleaned]],Price!$A$2:$C$9,2,FALSE)</f>
        <v>76</v>
      </c>
      <c r="M102" s="12">
        <f>VLOOKUP(Shoe_Sales[[#This Row],[Product Cleaned]],Price!$A$2:$C$9,3,0)</f>
        <v>39</v>
      </c>
      <c r="N102" s="12">
        <f>(Shoe_Sales[[#This Row],[Quantity]]*Shoe_Sales[[#This Row],[Selling Price]])</f>
        <v>304</v>
      </c>
      <c r="O102" s="12">
        <f>(Shoe_Sales[[#This Row],[Quantity]]*Shoe_Sales[[#This Row],[Cost Price]])</f>
        <v>156</v>
      </c>
      <c r="P102" s="12">
        <f>(Shoe_Sales[[#This Row],[Revenue]]-Shoe_Sales[[#This Row],[Cost]])</f>
        <v>148</v>
      </c>
      <c r="Q102" s="15">
        <f>(Shoe_Sales[[#This Row],[Profit]]/Shoe_Sales[[#This Row],[Revenue]])</f>
        <v>0.48684210526315791</v>
      </c>
    </row>
    <row r="103" spans="1:17" x14ac:dyDescent="0.25">
      <c r="A103" s="9">
        <v>46216</v>
      </c>
      <c r="B103" s="4" t="s">
        <v>38</v>
      </c>
      <c r="C103" s="2" t="str">
        <f t="shared" si="2"/>
        <v>Monk Straps</v>
      </c>
      <c r="D103" s="4" t="s">
        <v>39</v>
      </c>
      <c r="E103" s="2" t="str">
        <f t="shared" si="3"/>
        <v>Formal</v>
      </c>
      <c r="F103" s="4" t="s">
        <v>9</v>
      </c>
      <c r="G103" s="4" t="s">
        <v>25</v>
      </c>
      <c r="H103" s="4" t="str">
        <f>PROPER(Shoe_Sales[[#This Row],[Brand]])</f>
        <v>Zara</v>
      </c>
      <c r="I103" s="4" t="s">
        <v>21</v>
      </c>
      <c r="J103" s="5">
        <v>8</v>
      </c>
      <c r="K103" s="4" t="s">
        <v>82</v>
      </c>
      <c r="L103" s="12">
        <f>VLOOKUP(Shoe_Sales[[#This Row],[Product Cleaned]],Price!$A$2:$C$9,2,FALSE)</f>
        <v>89</v>
      </c>
      <c r="M103" s="12">
        <f>VLOOKUP(Shoe_Sales[[#This Row],[Product Cleaned]],Price!$A$2:$C$9,3,0)</f>
        <v>47</v>
      </c>
      <c r="N103" s="12">
        <f>(Shoe_Sales[[#This Row],[Quantity]]*Shoe_Sales[[#This Row],[Selling Price]])</f>
        <v>712</v>
      </c>
      <c r="O103" s="12">
        <f>(Shoe_Sales[[#This Row],[Quantity]]*Shoe_Sales[[#This Row],[Cost Price]])</f>
        <v>376</v>
      </c>
      <c r="P103" s="12">
        <f>(Shoe_Sales[[#This Row],[Revenue]]-Shoe_Sales[[#This Row],[Cost]])</f>
        <v>336</v>
      </c>
      <c r="Q103" s="15">
        <f>(Shoe_Sales[[#This Row],[Profit]]/Shoe_Sales[[#This Row],[Revenue]])</f>
        <v>0.47191011235955055</v>
      </c>
    </row>
    <row r="104" spans="1:17" x14ac:dyDescent="0.25">
      <c r="A104" s="8">
        <v>46040</v>
      </c>
      <c r="B104" s="2" t="s">
        <v>64</v>
      </c>
      <c r="C104" s="2" t="str">
        <f t="shared" si="2"/>
        <v>Derby</v>
      </c>
      <c r="D104" s="2" t="s">
        <v>8</v>
      </c>
      <c r="E104" s="2" t="str">
        <f t="shared" si="3"/>
        <v>Formal</v>
      </c>
      <c r="F104" s="2" t="s">
        <v>24</v>
      </c>
      <c r="G104" s="2" t="s">
        <v>34</v>
      </c>
      <c r="H104" s="2" t="str">
        <f>PROPER(Shoe_Sales[[#This Row],[Brand]])</f>
        <v>Clarks</v>
      </c>
      <c r="I104" s="2" t="s">
        <v>16</v>
      </c>
      <c r="J104" s="3">
        <v>8</v>
      </c>
      <c r="K104" s="2" t="s">
        <v>81</v>
      </c>
      <c r="L104" s="12">
        <f>VLOOKUP(Shoe_Sales[[#This Row],[Product Cleaned]],Price!$A$2:$C$9,2,FALSE)</f>
        <v>32</v>
      </c>
      <c r="M104" s="12">
        <f>VLOOKUP(Shoe_Sales[[#This Row],[Product Cleaned]],Price!$A$2:$C$9,3,0)</f>
        <v>14</v>
      </c>
      <c r="N104" s="12">
        <f>(Shoe_Sales[[#This Row],[Quantity]]*Shoe_Sales[[#This Row],[Selling Price]])</f>
        <v>256</v>
      </c>
      <c r="O104" s="12">
        <f>(Shoe_Sales[[#This Row],[Quantity]]*Shoe_Sales[[#This Row],[Cost Price]])</f>
        <v>112</v>
      </c>
      <c r="P104" s="12">
        <f>(Shoe_Sales[[#This Row],[Revenue]]-Shoe_Sales[[#This Row],[Cost]])</f>
        <v>144</v>
      </c>
      <c r="Q104" s="15">
        <f>(Shoe_Sales[[#This Row],[Profit]]/Shoe_Sales[[#This Row],[Revenue]])</f>
        <v>0.5625</v>
      </c>
    </row>
    <row r="105" spans="1:17" x14ac:dyDescent="0.25">
      <c r="A105" s="9">
        <v>46187</v>
      </c>
      <c r="B105" s="4" t="s">
        <v>67</v>
      </c>
      <c r="C105" s="2" t="str">
        <f t="shared" si="2"/>
        <v>Slippers</v>
      </c>
      <c r="D105" s="4" t="s">
        <v>28</v>
      </c>
      <c r="E105" s="2" t="str">
        <f t="shared" si="3"/>
        <v>Utility</v>
      </c>
      <c r="F105" s="4" t="s">
        <v>14</v>
      </c>
      <c r="G105" s="4" t="s">
        <v>53</v>
      </c>
      <c r="H105" s="4" t="str">
        <f>PROPER(Shoe_Sales[[#This Row],[Brand]])</f>
        <v>Zara</v>
      </c>
      <c r="I105" s="4" t="s">
        <v>26</v>
      </c>
      <c r="J105" s="5">
        <v>6</v>
      </c>
      <c r="K105" s="4" t="s">
        <v>80</v>
      </c>
      <c r="L105" s="12">
        <f>VLOOKUP(Shoe_Sales[[#This Row],[Product Cleaned]],Price!$A$2:$C$9,2,FALSE)</f>
        <v>119</v>
      </c>
      <c r="M105" s="12">
        <f>VLOOKUP(Shoe_Sales[[#This Row],[Product Cleaned]],Price!$A$2:$C$9,3,0)</f>
        <v>67</v>
      </c>
      <c r="N105" s="12">
        <f>(Shoe_Sales[[#This Row],[Quantity]]*Shoe_Sales[[#This Row],[Selling Price]])</f>
        <v>714</v>
      </c>
      <c r="O105" s="12">
        <f>(Shoe_Sales[[#This Row],[Quantity]]*Shoe_Sales[[#This Row],[Cost Price]])</f>
        <v>402</v>
      </c>
      <c r="P105" s="12">
        <f>(Shoe_Sales[[#This Row],[Revenue]]-Shoe_Sales[[#This Row],[Cost]])</f>
        <v>312</v>
      </c>
      <c r="Q105" s="15">
        <f>(Shoe_Sales[[#This Row],[Profit]]/Shoe_Sales[[#This Row],[Revenue]])</f>
        <v>0.43697478991596639</v>
      </c>
    </row>
    <row r="106" spans="1:17" x14ac:dyDescent="0.25">
      <c r="A106" s="8">
        <v>46185</v>
      </c>
      <c r="B106" s="2" t="s">
        <v>38</v>
      </c>
      <c r="C106" s="2" t="str">
        <f t="shared" si="2"/>
        <v>Monk Straps</v>
      </c>
      <c r="D106" s="2" t="s">
        <v>18</v>
      </c>
      <c r="E106" s="2" t="str">
        <f t="shared" si="3"/>
        <v>Open</v>
      </c>
      <c r="F106" s="2" t="s">
        <v>9</v>
      </c>
      <c r="G106" s="2" t="s">
        <v>30</v>
      </c>
      <c r="H106" s="2" t="str">
        <f>PROPER(Shoe_Sales[[#This Row],[Brand]])</f>
        <v>Timberland</v>
      </c>
      <c r="I106" s="2" t="s">
        <v>16</v>
      </c>
      <c r="J106" s="3">
        <v>9</v>
      </c>
      <c r="K106" s="2" t="s">
        <v>80</v>
      </c>
      <c r="L106" s="12">
        <f>VLOOKUP(Shoe_Sales[[#This Row],[Product Cleaned]],Price!$A$2:$C$9,2,FALSE)</f>
        <v>89</v>
      </c>
      <c r="M106" s="12">
        <f>VLOOKUP(Shoe_Sales[[#This Row],[Product Cleaned]],Price!$A$2:$C$9,3,0)</f>
        <v>47</v>
      </c>
      <c r="N106" s="12">
        <f>(Shoe_Sales[[#This Row],[Quantity]]*Shoe_Sales[[#This Row],[Selling Price]])</f>
        <v>801</v>
      </c>
      <c r="O106" s="12">
        <f>(Shoe_Sales[[#This Row],[Quantity]]*Shoe_Sales[[#This Row],[Cost Price]])</f>
        <v>423</v>
      </c>
      <c r="P106" s="12">
        <f>(Shoe_Sales[[#This Row],[Revenue]]-Shoe_Sales[[#This Row],[Cost]])</f>
        <v>378</v>
      </c>
      <c r="Q106" s="15">
        <f>(Shoe_Sales[[#This Row],[Profit]]/Shoe_Sales[[#This Row],[Revenue]])</f>
        <v>0.47191011235955055</v>
      </c>
    </row>
    <row r="107" spans="1:17" x14ac:dyDescent="0.25">
      <c r="A107" s="9">
        <v>46240</v>
      </c>
      <c r="B107" s="4" t="s">
        <v>71</v>
      </c>
      <c r="C107" s="2" t="str">
        <f t="shared" si="2"/>
        <v>Boots</v>
      </c>
      <c r="D107" s="4" t="s">
        <v>13</v>
      </c>
      <c r="E107" s="2" t="str">
        <f t="shared" si="3"/>
        <v>Casual</v>
      </c>
      <c r="F107" s="4" t="s">
        <v>14</v>
      </c>
      <c r="G107" s="4" t="s">
        <v>40</v>
      </c>
      <c r="H107" s="4" t="str">
        <f>PROPER(Shoe_Sales[[#This Row],[Brand]])</f>
        <v>Zara</v>
      </c>
      <c r="I107" s="4" t="s">
        <v>26</v>
      </c>
      <c r="J107" s="5">
        <v>2</v>
      </c>
      <c r="K107" s="4" t="s">
        <v>82</v>
      </c>
      <c r="L107" s="12">
        <f>VLOOKUP(Shoe_Sales[[#This Row],[Product Cleaned]],Price!$A$2:$C$9,2,FALSE)</f>
        <v>76</v>
      </c>
      <c r="M107" s="12">
        <f>VLOOKUP(Shoe_Sales[[#This Row],[Product Cleaned]],Price!$A$2:$C$9,3,0)</f>
        <v>39</v>
      </c>
      <c r="N107" s="12">
        <f>(Shoe_Sales[[#This Row],[Quantity]]*Shoe_Sales[[#This Row],[Selling Price]])</f>
        <v>152</v>
      </c>
      <c r="O107" s="12">
        <f>(Shoe_Sales[[#This Row],[Quantity]]*Shoe_Sales[[#This Row],[Cost Price]])</f>
        <v>78</v>
      </c>
      <c r="P107" s="12">
        <f>(Shoe_Sales[[#This Row],[Revenue]]-Shoe_Sales[[#This Row],[Cost]])</f>
        <v>74</v>
      </c>
      <c r="Q107" s="15">
        <f>(Shoe_Sales[[#This Row],[Profit]]/Shoe_Sales[[#This Row],[Revenue]])</f>
        <v>0.48684210526315791</v>
      </c>
    </row>
    <row r="108" spans="1:17" x14ac:dyDescent="0.25">
      <c r="A108" s="8">
        <v>46040</v>
      </c>
      <c r="B108" s="2" t="s">
        <v>36</v>
      </c>
      <c r="C108" s="2" t="str">
        <f t="shared" si="2"/>
        <v>Brogues</v>
      </c>
      <c r="D108" s="2" t="s">
        <v>39</v>
      </c>
      <c r="E108" s="2" t="str">
        <f t="shared" si="3"/>
        <v>Formal</v>
      </c>
      <c r="F108" s="2" t="s">
        <v>14</v>
      </c>
      <c r="G108" s="2" t="s">
        <v>53</v>
      </c>
      <c r="H108" s="2" t="str">
        <f>PROPER(Shoe_Sales[[#This Row],[Brand]])</f>
        <v>Zara</v>
      </c>
      <c r="I108" s="2" t="s">
        <v>50</v>
      </c>
      <c r="J108" s="3">
        <v>4</v>
      </c>
      <c r="K108" s="2" t="s">
        <v>81</v>
      </c>
      <c r="L108" s="12">
        <f>VLOOKUP(Shoe_Sales[[#This Row],[Product Cleaned]],Price!$A$2:$C$9,2,FALSE)</f>
        <v>112</v>
      </c>
      <c r="M108" s="12">
        <f>VLOOKUP(Shoe_Sales[[#This Row],[Product Cleaned]],Price!$A$2:$C$9,3,0)</f>
        <v>64</v>
      </c>
      <c r="N108" s="12">
        <f>(Shoe_Sales[[#This Row],[Quantity]]*Shoe_Sales[[#This Row],[Selling Price]])</f>
        <v>448</v>
      </c>
      <c r="O108" s="12">
        <f>(Shoe_Sales[[#This Row],[Quantity]]*Shoe_Sales[[#This Row],[Cost Price]])</f>
        <v>256</v>
      </c>
      <c r="P108" s="12">
        <f>(Shoe_Sales[[#This Row],[Revenue]]-Shoe_Sales[[#This Row],[Cost]])</f>
        <v>192</v>
      </c>
      <c r="Q108" s="15">
        <f>(Shoe_Sales[[#This Row],[Profit]]/Shoe_Sales[[#This Row],[Revenue]])</f>
        <v>0.42857142857142855</v>
      </c>
    </row>
    <row r="109" spans="1:17" x14ac:dyDescent="0.25">
      <c r="A109" s="9">
        <v>46144</v>
      </c>
      <c r="B109" s="4" t="s">
        <v>63</v>
      </c>
      <c r="C109" s="2" t="str">
        <f t="shared" si="2"/>
        <v>Monk Straps</v>
      </c>
      <c r="D109" s="4" t="s">
        <v>39</v>
      </c>
      <c r="E109" s="2" t="str">
        <f t="shared" si="3"/>
        <v>Formal</v>
      </c>
      <c r="F109" s="4" t="s">
        <v>19</v>
      </c>
      <c r="G109" s="4" t="s">
        <v>53</v>
      </c>
      <c r="H109" s="4" t="str">
        <f>PROPER(Shoe_Sales[[#This Row],[Brand]])</f>
        <v>Zara</v>
      </c>
      <c r="I109" s="4" t="s">
        <v>26</v>
      </c>
      <c r="J109" s="5">
        <v>15</v>
      </c>
      <c r="K109" s="4" t="s">
        <v>81</v>
      </c>
      <c r="L109" s="12">
        <f>VLOOKUP(Shoe_Sales[[#This Row],[Product Cleaned]],Price!$A$2:$C$9,2,FALSE)</f>
        <v>89</v>
      </c>
      <c r="M109" s="12">
        <f>VLOOKUP(Shoe_Sales[[#This Row],[Product Cleaned]],Price!$A$2:$C$9,3,0)</f>
        <v>47</v>
      </c>
      <c r="N109" s="12">
        <f>(Shoe_Sales[[#This Row],[Quantity]]*Shoe_Sales[[#This Row],[Selling Price]])</f>
        <v>1335</v>
      </c>
      <c r="O109" s="12">
        <f>(Shoe_Sales[[#This Row],[Quantity]]*Shoe_Sales[[#This Row],[Cost Price]])</f>
        <v>705</v>
      </c>
      <c r="P109" s="12">
        <f>(Shoe_Sales[[#This Row],[Revenue]]-Shoe_Sales[[#This Row],[Cost]])</f>
        <v>630</v>
      </c>
      <c r="Q109" s="15">
        <f>(Shoe_Sales[[#This Row],[Profit]]/Shoe_Sales[[#This Row],[Revenue]])</f>
        <v>0.47191011235955055</v>
      </c>
    </row>
    <row r="110" spans="1:17" x14ac:dyDescent="0.25">
      <c r="A110" s="8">
        <v>46130</v>
      </c>
      <c r="B110" s="2" t="s">
        <v>71</v>
      </c>
      <c r="C110" s="2" t="str">
        <f t="shared" si="2"/>
        <v>Boots</v>
      </c>
      <c r="D110" s="2" t="s">
        <v>28</v>
      </c>
      <c r="E110" s="2" t="str">
        <f t="shared" si="3"/>
        <v>Utility</v>
      </c>
      <c r="F110" s="2" t="s">
        <v>19</v>
      </c>
      <c r="G110" s="2" t="s">
        <v>40</v>
      </c>
      <c r="H110" s="2" t="str">
        <f>PROPER(Shoe_Sales[[#This Row],[Brand]])</f>
        <v>Zara</v>
      </c>
      <c r="I110" s="2" t="s">
        <v>31</v>
      </c>
      <c r="J110" s="3">
        <v>15</v>
      </c>
      <c r="K110" s="2" t="s">
        <v>79</v>
      </c>
      <c r="L110" s="12">
        <f>VLOOKUP(Shoe_Sales[[#This Row],[Product Cleaned]],Price!$A$2:$C$9,2,FALSE)</f>
        <v>76</v>
      </c>
      <c r="M110" s="12">
        <f>VLOOKUP(Shoe_Sales[[#This Row],[Product Cleaned]],Price!$A$2:$C$9,3,0)</f>
        <v>39</v>
      </c>
      <c r="N110" s="12">
        <f>(Shoe_Sales[[#This Row],[Quantity]]*Shoe_Sales[[#This Row],[Selling Price]])</f>
        <v>1140</v>
      </c>
      <c r="O110" s="12">
        <f>(Shoe_Sales[[#This Row],[Quantity]]*Shoe_Sales[[#This Row],[Cost Price]])</f>
        <v>585</v>
      </c>
      <c r="P110" s="12">
        <f>(Shoe_Sales[[#This Row],[Revenue]]-Shoe_Sales[[#This Row],[Cost]])</f>
        <v>555</v>
      </c>
      <c r="Q110" s="15">
        <f>(Shoe_Sales[[#This Row],[Profit]]/Shoe_Sales[[#This Row],[Revenue]])</f>
        <v>0.48684210526315791</v>
      </c>
    </row>
    <row r="111" spans="1:17" x14ac:dyDescent="0.25">
      <c r="A111" s="9">
        <v>46074</v>
      </c>
      <c r="B111" s="4" t="s">
        <v>7</v>
      </c>
      <c r="C111" s="2" t="str">
        <f t="shared" si="2"/>
        <v>Derby</v>
      </c>
      <c r="D111" s="4" t="s">
        <v>33</v>
      </c>
      <c r="E111" s="2" t="str">
        <f t="shared" si="3"/>
        <v>Formal</v>
      </c>
      <c r="F111" s="4" t="s">
        <v>29</v>
      </c>
      <c r="G111" s="4" t="s">
        <v>10</v>
      </c>
      <c r="H111" s="4" t="str">
        <f>PROPER(Shoe_Sales[[#This Row],[Brand]])</f>
        <v>Clarks</v>
      </c>
      <c r="I111" s="4" t="s">
        <v>58</v>
      </c>
      <c r="J111" s="5">
        <v>8</v>
      </c>
      <c r="K111" s="4" t="s">
        <v>80</v>
      </c>
      <c r="L111" s="12">
        <f>VLOOKUP(Shoe_Sales[[#This Row],[Product Cleaned]],Price!$A$2:$C$9,2,FALSE)</f>
        <v>32</v>
      </c>
      <c r="M111" s="12">
        <f>VLOOKUP(Shoe_Sales[[#This Row],[Product Cleaned]],Price!$A$2:$C$9,3,0)</f>
        <v>14</v>
      </c>
      <c r="N111" s="12">
        <f>(Shoe_Sales[[#This Row],[Quantity]]*Shoe_Sales[[#This Row],[Selling Price]])</f>
        <v>256</v>
      </c>
      <c r="O111" s="12">
        <f>(Shoe_Sales[[#This Row],[Quantity]]*Shoe_Sales[[#This Row],[Cost Price]])</f>
        <v>112</v>
      </c>
      <c r="P111" s="12">
        <f>(Shoe_Sales[[#This Row],[Revenue]]-Shoe_Sales[[#This Row],[Cost]])</f>
        <v>144</v>
      </c>
      <c r="Q111" s="15">
        <f>(Shoe_Sales[[#This Row],[Profit]]/Shoe_Sales[[#This Row],[Revenue]])</f>
        <v>0.5625</v>
      </c>
    </row>
    <row r="112" spans="1:17" x14ac:dyDescent="0.25">
      <c r="A112" s="8">
        <v>46193</v>
      </c>
      <c r="B112" s="2" t="s">
        <v>76</v>
      </c>
      <c r="C112" s="2" t="str">
        <f t="shared" si="2"/>
        <v>Monk Straps</v>
      </c>
      <c r="D112" s="2" t="s">
        <v>23</v>
      </c>
      <c r="E112" s="2" t="str">
        <f t="shared" si="3"/>
        <v>Casual</v>
      </c>
      <c r="F112" s="2" t="s">
        <v>14</v>
      </c>
      <c r="G112" s="2" t="s">
        <v>20</v>
      </c>
      <c r="H112" s="2" t="str">
        <f>PROPER(Shoe_Sales[[#This Row],[Brand]])</f>
        <v>Nike</v>
      </c>
      <c r="I112" s="2" t="s">
        <v>26</v>
      </c>
      <c r="J112" s="3">
        <v>7</v>
      </c>
      <c r="K112" s="2" t="s">
        <v>80</v>
      </c>
      <c r="L112" s="12">
        <f>VLOOKUP(Shoe_Sales[[#This Row],[Product Cleaned]],Price!$A$2:$C$9,2,FALSE)</f>
        <v>89</v>
      </c>
      <c r="M112" s="12">
        <f>VLOOKUP(Shoe_Sales[[#This Row],[Product Cleaned]],Price!$A$2:$C$9,3,0)</f>
        <v>47</v>
      </c>
      <c r="N112" s="12">
        <f>(Shoe_Sales[[#This Row],[Quantity]]*Shoe_Sales[[#This Row],[Selling Price]])</f>
        <v>623</v>
      </c>
      <c r="O112" s="12">
        <f>(Shoe_Sales[[#This Row],[Quantity]]*Shoe_Sales[[#This Row],[Cost Price]])</f>
        <v>329</v>
      </c>
      <c r="P112" s="12">
        <f>(Shoe_Sales[[#This Row],[Revenue]]-Shoe_Sales[[#This Row],[Cost]])</f>
        <v>294</v>
      </c>
      <c r="Q112" s="15">
        <f>(Shoe_Sales[[#This Row],[Profit]]/Shoe_Sales[[#This Row],[Revenue]])</f>
        <v>0.47191011235955055</v>
      </c>
    </row>
    <row r="113" spans="1:17" x14ac:dyDescent="0.25">
      <c r="A113" s="9">
        <v>46137</v>
      </c>
      <c r="B113" s="4" t="s">
        <v>17</v>
      </c>
      <c r="C113" s="2" t="str">
        <f t="shared" si="2"/>
        <v>Slippers</v>
      </c>
      <c r="D113" s="4" t="s">
        <v>13</v>
      </c>
      <c r="E113" s="2" t="str">
        <f t="shared" si="3"/>
        <v>Casual</v>
      </c>
      <c r="F113" s="4" t="s">
        <v>19</v>
      </c>
      <c r="G113" s="4" t="s">
        <v>10</v>
      </c>
      <c r="H113" s="4" t="str">
        <f>PROPER(Shoe_Sales[[#This Row],[Brand]])</f>
        <v>Clarks</v>
      </c>
      <c r="I113" s="4" t="s">
        <v>46</v>
      </c>
      <c r="J113" s="5">
        <v>8</v>
      </c>
      <c r="K113" s="4" t="s">
        <v>79</v>
      </c>
      <c r="L113" s="12">
        <f>VLOOKUP(Shoe_Sales[[#This Row],[Product Cleaned]],Price!$A$2:$C$9,2,FALSE)</f>
        <v>119</v>
      </c>
      <c r="M113" s="12">
        <f>VLOOKUP(Shoe_Sales[[#This Row],[Product Cleaned]],Price!$A$2:$C$9,3,0)</f>
        <v>67</v>
      </c>
      <c r="N113" s="12">
        <f>(Shoe_Sales[[#This Row],[Quantity]]*Shoe_Sales[[#This Row],[Selling Price]])</f>
        <v>952</v>
      </c>
      <c r="O113" s="12">
        <f>(Shoe_Sales[[#This Row],[Quantity]]*Shoe_Sales[[#This Row],[Cost Price]])</f>
        <v>536</v>
      </c>
      <c r="P113" s="12">
        <f>(Shoe_Sales[[#This Row],[Revenue]]-Shoe_Sales[[#This Row],[Cost]])</f>
        <v>416</v>
      </c>
      <c r="Q113" s="15">
        <f>(Shoe_Sales[[#This Row],[Profit]]/Shoe_Sales[[#This Row],[Revenue]])</f>
        <v>0.43697478991596639</v>
      </c>
    </row>
    <row r="114" spans="1:17" x14ac:dyDescent="0.25">
      <c r="A114" s="8">
        <v>46172</v>
      </c>
      <c r="B114" s="2" t="s">
        <v>76</v>
      </c>
      <c r="C114" s="2" t="str">
        <f t="shared" si="2"/>
        <v>Monk Straps</v>
      </c>
      <c r="D114" s="2" t="s">
        <v>8</v>
      </c>
      <c r="E114" s="2" t="str">
        <f t="shared" si="3"/>
        <v>Formal</v>
      </c>
      <c r="F114" s="2" t="s">
        <v>19</v>
      </c>
      <c r="G114" s="2" t="s">
        <v>45</v>
      </c>
      <c r="H114" s="2" t="str">
        <f>PROPER(Shoe_Sales[[#This Row],[Brand]])</f>
        <v>Steve Madden</v>
      </c>
      <c r="I114" s="2" t="s">
        <v>21</v>
      </c>
      <c r="J114" s="3">
        <v>13</v>
      </c>
      <c r="K114" s="2" t="s">
        <v>81</v>
      </c>
      <c r="L114" s="12">
        <f>VLOOKUP(Shoe_Sales[[#This Row],[Product Cleaned]],Price!$A$2:$C$9,2,FALSE)</f>
        <v>89</v>
      </c>
      <c r="M114" s="12">
        <f>VLOOKUP(Shoe_Sales[[#This Row],[Product Cleaned]],Price!$A$2:$C$9,3,0)</f>
        <v>47</v>
      </c>
      <c r="N114" s="12">
        <f>(Shoe_Sales[[#This Row],[Quantity]]*Shoe_Sales[[#This Row],[Selling Price]])</f>
        <v>1157</v>
      </c>
      <c r="O114" s="12">
        <f>(Shoe_Sales[[#This Row],[Quantity]]*Shoe_Sales[[#This Row],[Cost Price]])</f>
        <v>611</v>
      </c>
      <c r="P114" s="12">
        <f>(Shoe_Sales[[#This Row],[Revenue]]-Shoe_Sales[[#This Row],[Cost]])</f>
        <v>546</v>
      </c>
      <c r="Q114" s="15">
        <f>(Shoe_Sales[[#This Row],[Profit]]/Shoe_Sales[[#This Row],[Revenue]])</f>
        <v>0.47191011235955055</v>
      </c>
    </row>
    <row r="115" spans="1:17" x14ac:dyDescent="0.25">
      <c r="A115" s="9">
        <v>46081</v>
      </c>
      <c r="B115" s="4" t="s">
        <v>59</v>
      </c>
      <c r="C115" s="2" t="str">
        <f t="shared" si="2"/>
        <v>Oxford</v>
      </c>
      <c r="D115" s="4" t="s">
        <v>8</v>
      </c>
      <c r="E115" s="2" t="str">
        <f t="shared" si="3"/>
        <v>Formal</v>
      </c>
      <c r="F115" s="4" t="s">
        <v>29</v>
      </c>
      <c r="G115" s="4" t="s">
        <v>49</v>
      </c>
      <c r="H115" s="4" t="str">
        <f>PROPER(Shoe_Sales[[#This Row],[Brand]])</f>
        <v>Nike</v>
      </c>
      <c r="I115" s="4" t="s">
        <v>26</v>
      </c>
      <c r="J115" s="5">
        <v>14</v>
      </c>
      <c r="K115" s="4" t="s">
        <v>79</v>
      </c>
      <c r="L115" s="12">
        <f>VLOOKUP(Shoe_Sales[[#This Row],[Product Cleaned]],Price!$A$2:$C$9,2,FALSE)</f>
        <v>105</v>
      </c>
      <c r="M115" s="12">
        <f>VLOOKUP(Shoe_Sales[[#This Row],[Product Cleaned]],Price!$A$2:$C$9,3,0)</f>
        <v>58</v>
      </c>
      <c r="N115" s="12">
        <f>(Shoe_Sales[[#This Row],[Quantity]]*Shoe_Sales[[#This Row],[Selling Price]])</f>
        <v>1470</v>
      </c>
      <c r="O115" s="12">
        <f>(Shoe_Sales[[#This Row],[Quantity]]*Shoe_Sales[[#This Row],[Cost Price]])</f>
        <v>812</v>
      </c>
      <c r="P115" s="12">
        <f>(Shoe_Sales[[#This Row],[Revenue]]-Shoe_Sales[[#This Row],[Cost]])</f>
        <v>658</v>
      </c>
      <c r="Q115" s="15">
        <f>(Shoe_Sales[[#This Row],[Profit]]/Shoe_Sales[[#This Row],[Revenue]])</f>
        <v>0.44761904761904764</v>
      </c>
    </row>
    <row r="116" spans="1:17" x14ac:dyDescent="0.25">
      <c r="A116" s="8">
        <v>46154</v>
      </c>
      <c r="B116" s="2" t="s">
        <v>76</v>
      </c>
      <c r="C116" s="2" t="str">
        <f t="shared" si="2"/>
        <v>Monk Straps</v>
      </c>
      <c r="D116" s="2" t="s">
        <v>8</v>
      </c>
      <c r="E116" s="2" t="str">
        <f t="shared" si="3"/>
        <v>Formal</v>
      </c>
      <c r="F116" s="2" t="s">
        <v>29</v>
      </c>
      <c r="G116" s="2" t="s">
        <v>60</v>
      </c>
      <c r="H116" s="2" t="str">
        <f>PROPER(Shoe_Sales[[#This Row],[Brand]])</f>
        <v>Clarks</v>
      </c>
      <c r="I116" s="2" t="s">
        <v>35</v>
      </c>
      <c r="J116" s="3">
        <v>12</v>
      </c>
      <c r="K116" s="2" t="s">
        <v>81</v>
      </c>
      <c r="L116" s="12">
        <f>VLOOKUP(Shoe_Sales[[#This Row],[Product Cleaned]],Price!$A$2:$C$9,2,FALSE)</f>
        <v>89</v>
      </c>
      <c r="M116" s="12">
        <f>VLOOKUP(Shoe_Sales[[#This Row],[Product Cleaned]],Price!$A$2:$C$9,3,0)</f>
        <v>47</v>
      </c>
      <c r="N116" s="12">
        <f>(Shoe_Sales[[#This Row],[Quantity]]*Shoe_Sales[[#This Row],[Selling Price]])</f>
        <v>1068</v>
      </c>
      <c r="O116" s="12">
        <f>(Shoe_Sales[[#This Row],[Quantity]]*Shoe_Sales[[#This Row],[Cost Price]])</f>
        <v>564</v>
      </c>
      <c r="P116" s="12">
        <f>(Shoe_Sales[[#This Row],[Revenue]]-Shoe_Sales[[#This Row],[Cost]])</f>
        <v>504</v>
      </c>
      <c r="Q116" s="15">
        <f>(Shoe_Sales[[#This Row],[Profit]]/Shoe_Sales[[#This Row],[Revenue]])</f>
        <v>0.47191011235955055</v>
      </c>
    </row>
    <row r="117" spans="1:17" x14ac:dyDescent="0.25">
      <c r="A117" s="9">
        <v>46075</v>
      </c>
      <c r="B117" s="4" t="s">
        <v>12</v>
      </c>
      <c r="C117" s="2" t="str">
        <f t="shared" si="2"/>
        <v>Canvas</v>
      </c>
      <c r="D117" s="4" t="s">
        <v>68</v>
      </c>
      <c r="E117" s="2" t="str">
        <f t="shared" si="3"/>
        <v>Open</v>
      </c>
      <c r="F117" s="4" t="s">
        <v>29</v>
      </c>
      <c r="G117" s="4" t="s">
        <v>34</v>
      </c>
      <c r="H117" s="4" t="str">
        <f>PROPER(Shoe_Sales[[#This Row],[Brand]])</f>
        <v>Clarks</v>
      </c>
      <c r="I117" s="4" t="s">
        <v>37</v>
      </c>
      <c r="J117" s="5">
        <v>10</v>
      </c>
      <c r="K117" s="4" t="s">
        <v>80</v>
      </c>
      <c r="L117" s="12">
        <f>VLOOKUP(Shoe_Sales[[#This Row],[Product Cleaned]],Price!$A$2:$C$9,2,FALSE)</f>
        <v>128</v>
      </c>
      <c r="M117" s="12">
        <f>VLOOKUP(Shoe_Sales[[#This Row],[Product Cleaned]],Price!$A$2:$C$9,3,0)</f>
        <v>72</v>
      </c>
      <c r="N117" s="12">
        <f>(Shoe_Sales[[#This Row],[Quantity]]*Shoe_Sales[[#This Row],[Selling Price]])</f>
        <v>1280</v>
      </c>
      <c r="O117" s="12">
        <f>(Shoe_Sales[[#This Row],[Quantity]]*Shoe_Sales[[#This Row],[Cost Price]])</f>
        <v>720</v>
      </c>
      <c r="P117" s="12">
        <f>(Shoe_Sales[[#This Row],[Revenue]]-Shoe_Sales[[#This Row],[Cost]])</f>
        <v>560</v>
      </c>
      <c r="Q117" s="15">
        <f>(Shoe_Sales[[#This Row],[Profit]]/Shoe_Sales[[#This Row],[Revenue]])</f>
        <v>0.4375</v>
      </c>
    </row>
    <row r="118" spans="1:17" x14ac:dyDescent="0.25">
      <c r="A118" s="8">
        <v>46146</v>
      </c>
      <c r="B118" s="2" t="s">
        <v>36</v>
      </c>
      <c r="C118" s="2" t="str">
        <f t="shared" si="2"/>
        <v>Brogues</v>
      </c>
      <c r="D118" s="2" t="s">
        <v>33</v>
      </c>
      <c r="E118" s="2" t="str">
        <f t="shared" si="3"/>
        <v>Formal</v>
      </c>
      <c r="F118" s="2" t="s">
        <v>24</v>
      </c>
      <c r="G118" s="2" t="s">
        <v>34</v>
      </c>
      <c r="H118" s="2" t="str">
        <f>PROPER(Shoe_Sales[[#This Row],[Brand]])</f>
        <v>Clarks</v>
      </c>
      <c r="I118" s="2" t="s">
        <v>58</v>
      </c>
      <c r="J118" s="3">
        <v>6</v>
      </c>
      <c r="K118" s="2" t="s">
        <v>80</v>
      </c>
      <c r="L118" s="12">
        <f>VLOOKUP(Shoe_Sales[[#This Row],[Product Cleaned]],Price!$A$2:$C$9,2,FALSE)</f>
        <v>112</v>
      </c>
      <c r="M118" s="12">
        <f>VLOOKUP(Shoe_Sales[[#This Row],[Product Cleaned]],Price!$A$2:$C$9,3,0)</f>
        <v>64</v>
      </c>
      <c r="N118" s="12">
        <f>(Shoe_Sales[[#This Row],[Quantity]]*Shoe_Sales[[#This Row],[Selling Price]])</f>
        <v>672</v>
      </c>
      <c r="O118" s="12">
        <f>(Shoe_Sales[[#This Row],[Quantity]]*Shoe_Sales[[#This Row],[Cost Price]])</f>
        <v>384</v>
      </c>
      <c r="P118" s="12">
        <f>(Shoe_Sales[[#This Row],[Revenue]]-Shoe_Sales[[#This Row],[Cost]])</f>
        <v>288</v>
      </c>
      <c r="Q118" s="15">
        <f>(Shoe_Sales[[#This Row],[Profit]]/Shoe_Sales[[#This Row],[Revenue]])</f>
        <v>0.42857142857142855</v>
      </c>
    </row>
    <row r="119" spans="1:17" x14ac:dyDescent="0.25">
      <c r="A119" s="9">
        <v>46197</v>
      </c>
      <c r="B119" s="4" t="s">
        <v>63</v>
      </c>
      <c r="C119" s="2" t="str">
        <f t="shared" si="2"/>
        <v>Monk Straps</v>
      </c>
      <c r="D119" s="4" t="s">
        <v>68</v>
      </c>
      <c r="E119" s="2" t="str">
        <f t="shared" si="3"/>
        <v>Open</v>
      </c>
      <c r="F119" s="4" t="s">
        <v>14</v>
      </c>
      <c r="G119" s="4" t="s">
        <v>25</v>
      </c>
      <c r="H119" s="4" t="str">
        <f>PROPER(Shoe_Sales[[#This Row],[Brand]])</f>
        <v>Zara</v>
      </c>
      <c r="I119" s="4" t="s">
        <v>16</v>
      </c>
      <c r="J119" s="5">
        <v>13</v>
      </c>
      <c r="K119" s="4" t="s">
        <v>80</v>
      </c>
      <c r="L119" s="12">
        <f>VLOOKUP(Shoe_Sales[[#This Row],[Product Cleaned]],Price!$A$2:$C$9,2,FALSE)</f>
        <v>89</v>
      </c>
      <c r="M119" s="12">
        <f>VLOOKUP(Shoe_Sales[[#This Row],[Product Cleaned]],Price!$A$2:$C$9,3,0)</f>
        <v>47</v>
      </c>
      <c r="N119" s="12">
        <f>(Shoe_Sales[[#This Row],[Quantity]]*Shoe_Sales[[#This Row],[Selling Price]])</f>
        <v>1157</v>
      </c>
      <c r="O119" s="12">
        <f>(Shoe_Sales[[#This Row],[Quantity]]*Shoe_Sales[[#This Row],[Cost Price]])</f>
        <v>611</v>
      </c>
      <c r="P119" s="12">
        <f>(Shoe_Sales[[#This Row],[Revenue]]-Shoe_Sales[[#This Row],[Cost]])</f>
        <v>546</v>
      </c>
      <c r="Q119" s="15">
        <f>(Shoe_Sales[[#This Row],[Profit]]/Shoe_Sales[[#This Row],[Revenue]])</f>
        <v>0.47191011235955055</v>
      </c>
    </row>
    <row r="120" spans="1:17" x14ac:dyDescent="0.25">
      <c r="A120" s="8">
        <v>46101</v>
      </c>
      <c r="B120" s="2" t="s">
        <v>42</v>
      </c>
      <c r="C120" s="2" t="str">
        <f t="shared" si="2"/>
        <v>Derby</v>
      </c>
      <c r="D120" s="2" t="s">
        <v>8</v>
      </c>
      <c r="E120" s="2" t="str">
        <f t="shared" si="3"/>
        <v>Formal</v>
      </c>
      <c r="F120" s="2" t="s">
        <v>29</v>
      </c>
      <c r="G120" s="2" t="s">
        <v>34</v>
      </c>
      <c r="H120" s="2" t="str">
        <f>PROPER(Shoe_Sales[[#This Row],[Brand]])</f>
        <v>Clarks</v>
      </c>
      <c r="I120" s="2" t="s">
        <v>11</v>
      </c>
      <c r="J120" s="3">
        <v>4</v>
      </c>
      <c r="K120" s="2" t="s">
        <v>82</v>
      </c>
      <c r="L120" s="12">
        <f>VLOOKUP(Shoe_Sales[[#This Row],[Product Cleaned]],Price!$A$2:$C$9,2,FALSE)</f>
        <v>32</v>
      </c>
      <c r="M120" s="12">
        <f>VLOOKUP(Shoe_Sales[[#This Row],[Product Cleaned]],Price!$A$2:$C$9,3,0)</f>
        <v>14</v>
      </c>
      <c r="N120" s="12">
        <f>(Shoe_Sales[[#This Row],[Quantity]]*Shoe_Sales[[#This Row],[Selling Price]])</f>
        <v>128</v>
      </c>
      <c r="O120" s="12">
        <f>(Shoe_Sales[[#This Row],[Quantity]]*Shoe_Sales[[#This Row],[Cost Price]])</f>
        <v>56</v>
      </c>
      <c r="P120" s="12">
        <f>(Shoe_Sales[[#This Row],[Revenue]]-Shoe_Sales[[#This Row],[Cost]])</f>
        <v>72</v>
      </c>
      <c r="Q120" s="15">
        <f>(Shoe_Sales[[#This Row],[Profit]]/Shoe_Sales[[#This Row],[Revenue]])</f>
        <v>0.5625</v>
      </c>
    </row>
    <row r="121" spans="1:17" x14ac:dyDescent="0.25">
      <c r="A121" s="9">
        <v>46162</v>
      </c>
      <c r="B121" s="4" t="s">
        <v>71</v>
      </c>
      <c r="C121" s="2" t="str">
        <f t="shared" si="2"/>
        <v>Boots</v>
      </c>
      <c r="D121" s="4" t="s">
        <v>39</v>
      </c>
      <c r="E121" s="2" t="str">
        <f t="shared" si="3"/>
        <v>Formal</v>
      </c>
      <c r="F121" s="4" t="s">
        <v>9</v>
      </c>
      <c r="G121" s="4" t="s">
        <v>34</v>
      </c>
      <c r="H121" s="4" t="str">
        <f>PROPER(Shoe_Sales[[#This Row],[Brand]])</f>
        <v>Clarks</v>
      </c>
      <c r="I121" s="4" t="s">
        <v>26</v>
      </c>
      <c r="J121" s="5">
        <v>12</v>
      </c>
      <c r="K121" s="4" t="s">
        <v>79</v>
      </c>
      <c r="L121" s="12">
        <f>VLOOKUP(Shoe_Sales[[#This Row],[Product Cleaned]],Price!$A$2:$C$9,2,FALSE)</f>
        <v>76</v>
      </c>
      <c r="M121" s="12">
        <f>VLOOKUP(Shoe_Sales[[#This Row],[Product Cleaned]],Price!$A$2:$C$9,3,0)</f>
        <v>39</v>
      </c>
      <c r="N121" s="12">
        <f>(Shoe_Sales[[#This Row],[Quantity]]*Shoe_Sales[[#This Row],[Selling Price]])</f>
        <v>912</v>
      </c>
      <c r="O121" s="12">
        <f>(Shoe_Sales[[#This Row],[Quantity]]*Shoe_Sales[[#This Row],[Cost Price]])</f>
        <v>468</v>
      </c>
      <c r="P121" s="12">
        <f>(Shoe_Sales[[#This Row],[Revenue]]-Shoe_Sales[[#This Row],[Cost]])</f>
        <v>444</v>
      </c>
      <c r="Q121" s="15">
        <f>(Shoe_Sales[[#This Row],[Profit]]/Shoe_Sales[[#This Row],[Revenue]])</f>
        <v>0.48684210526315791</v>
      </c>
    </row>
    <row r="122" spans="1:17" x14ac:dyDescent="0.25">
      <c r="A122" s="8">
        <v>46248</v>
      </c>
      <c r="B122" s="2" t="s">
        <v>76</v>
      </c>
      <c r="C122" s="2" t="str">
        <f t="shared" si="2"/>
        <v>Monk Straps</v>
      </c>
      <c r="D122" s="2" t="s">
        <v>39</v>
      </c>
      <c r="E122" s="2" t="str">
        <f t="shared" si="3"/>
        <v>Formal</v>
      </c>
      <c r="F122" s="2" t="s">
        <v>29</v>
      </c>
      <c r="G122" s="2" t="s">
        <v>40</v>
      </c>
      <c r="H122" s="2" t="str">
        <f>PROPER(Shoe_Sales[[#This Row],[Brand]])</f>
        <v>Zara</v>
      </c>
      <c r="I122" s="2" t="s">
        <v>31</v>
      </c>
      <c r="J122" s="3">
        <v>5</v>
      </c>
      <c r="K122" s="2" t="s">
        <v>82</v>
      </c>
      <c r="L122" s="12">
        <f>VLOOKUP(Shoe_Sales[[#This Row],[Product Cleaned]],Price!$A$2:$C$9,2,FALSE)</f>
        <v>89</v>
      </c>
      <c r="M122" s="12">
        <f>VLOOKUP(Shoe_Sales[[#This Row],[Product Cleaned]],Price!$A$2:$C$9,3,0)</f>
        <v>47</v>
      </c>
      <c r="N122" s="12">
        <f>(Shoe_Sales[[#This Row],[Quantity]]*Shoe_Sales[[#This Row],[Selling Price]])</f>
        <v>445</v>
      </c>
      <c r="O122" s="12">
        <f>(Shoe_Sales[[#This Row],[Quantity]]*Shoe_Sales[[#This Row],[Cost Price]])</f>
        <v>235</v>
      </c>
      <c r="P122" s="12">
        <f>(Shoe_Sales[[#This Row],[Revenue]]-Shoe_Sales[[#This Row],[Cost]])</f>
        <v>210</v>
      </c>
      <c r="Q122" s="15">
        <f>(Shoe_Sales[[#This Row],[Profit]]/Shoe_Sales[[#This Row],[Revenue]])</f>
        <v>0.47191011235955055</v>
      </c>
    </row>
    <row r="123" spans="1:17" x14ac:dyDescent="0.25">
      <c r="A123" s="9">
        <v>46049</v>
      </c>
      <c r="B123" s="4" t="s">
        <v>22</v>
      </c>
      <c r="C123" s="2" t="str">
        <f t="shared" si="2"/>
        <v>Loafers</v>
      </c>
      <c r="D123" s="4" t="s">
        <v>72</v>
      </c>
      <c r="E123" s="2" t="str">
        <f t="shared" si="3"/>
        <v>Utility</v>
      </c>
      <c r="F123" s="4" t="s">
        <v>19</v>
      </c>
      <c r="G123" s="4" t="s">
        <v>69</v>
      </c>
      <c r="H123" s="4" t="str">
        <f>PROPER(Shoe_Sales[[#This Row],[Brand]])</f>
        <v>Nike</v>
      </c>
      <c r="I123" s="4" t="s">
        <v>46</v>
      </c>
      <c r="J123" s="5">
        <v>7</v>
      </c>
      <c r="K123" s="4" t="s">
        <v>79</v>
      </c>
      <c r="L123" s="12">
        <f>VLOOKUP(Shoe_Sales[[#This Row],[Product Cleaned]],Price!$A$2:$C$9,2,FALSE)</f>
        <v>54</v>
      </c>
      <c r="M123" s="12">
        <f>VLOOKUP(Shoe_Sales[[#This Row],[Product Cleaned]],Price!$A$2:$C$9,3,0)</f>
        <v>28</v>
      </c>
      <c r="N123" s="12">
        <f>(Shoe_Sales[[#This Row],[Quantity]]*Shoe_Sales[[#This Row],[Selling Price]])</f>
        <v>378</v>
      </c>
      <c r="O123" s="12">
        <f>(Shoe_Sales[[#This Row],[Quantity]]*Shoe_Sales[[#This Row],[Cost Price]])</f>
        <v>196</v>
      </c>
      <c r="P123" s="12">
        <f>(Shoe_Sales[[#This Row],[Revenue]]-Shoe_Sales[[#This Row],[Cost]])</f>
        <v>182</v>
      </c>
      <c r="Q123" s="15">
        <f>(Shoe_Sales[[#This Row],[Profit]]/Shoe_Sales[[#This Row],[Revenue]])</f>
        <v>0.48148148148148145</v>
      </c>
    </row>
    <row r="124" spans="1:17" x14ac:dyDescent="0.25">
      <c r="A124" s="8">
        <v>46190</v>
      </c>
      <c r="B124" s="2" t="s">
        <v>51</v>
      </c>
      <c r="C124" s="2" t="str">
        <f t="shared" si="2"/>
        <v>Loafers</v>
      </c>
      <c r="D124" s="2" t="s">
        <v>8</v>
      </c>
      <c r="E124" s="2" t="str">
        <f t="shared" si="3"/>
        <v>Formal</v>
      </c>
      <c r="F124" s="2" t="s">
        <v>14</v>
      </c>
      <c r="G124" s="2" t="s">
        <v>30</v>
      </c>
      <c r="H124" s="2" t="str">
        <f>PROPER(Shoe_Sales[[#This Row],[Brand]])</f>
        <v>Timberland</v>
      </c>
      <c r="I124" s="2" t="s">
        <v>26</v>
      </c>
      <c r="J124" s="3">
        <v>15</v>
      </c>
      <c r="K124" s="2" t="s">
        <v>79</v>
      </c>
      <c r="L124" s="12">
        <f>VLOOKUP(Shoe_Sales[[#This Row],[Product Cleaned]],Price!$A$2:$C$9,2,FALSE)</f>
        <v>54</v>
      </c>
      <c r="M124" s="12">
        <f>VLOOKUP(Shoe_Sales[[#This Row],[Product Cleaned]],Price!$A$2:$C$9,3,0)</f>
        <v>28</v>
      </c>
      <c r="N124" s="12">
        <f>(Shoe_Sales[[#This Row],[Quantity]]*Shoe_Sales[[#This Row],[Selling Price]])</f>
        <v>810</v>
      </c>
      <c r="O124" s="12">
        <f>(Shoe_Sales[[#This Row],[Quantity]]*Shoe_Sales[[#This Row],[Cost Price]])</f>
        <v>420</v>
      </c>
      <c r="P124" s="12">
        <f>(Shoe_Sales[[#This Row],[Revenue]]-Shoe_Sales[[#This Row],[Cost]])</f>
        <v>390</v>
      </c>
      <c r="Q124" s="15">
        <f>(Shoe_Sales[[#This Row],[Profit]]/Shoe_Sales[[#This Row],[Revenue]])</f>
        <v>0.48148148148148145</v>
      </c>
    </row>
    <row r="125" spans="1:17" x14ac:dyDescent="0.25">
      <c r="A125" s="9">
        <v>46175</v>
      </c>
      <c r="B125" s="4" t="s">
        <v>74</v>
      </c>
      <c r="C125" s="2" t="str">
        <f t="shared" si="2"/>
        <v>Oxford</v>
      </c>
      <c r="D125" s="4" t="s">
        <v>39</v>
      </c>
      <c r="E125" s="2" t="str">
        <f t="shared" si="3"/>
        <v>Formal</v>
      </c>
      <c r="F125" s="4" t="s">
        <v>19</v>
      </c>
      <c r="G125" s="4" t="s">
        <v>34</v>
      </c>
      <c r="H125" s="4" t="str">
        <f>PROPER(Shoe_Sales[[#This Row],[Brand]])</f>
        <v>Clarks</v>
      </c>
      <c r="I125" s="4" t="s">
        <v>37</v>
      </c>
      <c r="J125" s="5">
        <v>15</v>
      </c>
      <c r="K125" s="4" t="s">
        <v>79</v>
      </c>
      <c r="L125" s="12">
        <f>VLOOKUP(Shoe_Sales[[#This Row],[Product Cleaned]],Price!$A$2:$C$9,2,FALSE)</f>
        <v>105</v>
      </c>
      <c r="M125" s="12">
        <f>VLOOKUP(Shoe_Sales[[#This Row],[Product Cleaned]],Price!$A$2:$C$9,3,0)</f>
        <v>58</v>
      </c>
      <c r="N125" s="12">
        <f>(Shoe_Sales[[#This Row],[Quantity]]*Shoe_Sales[[#This Row],[Selling Price]])</f>
        <v>1575</v>
      </c>
      <c r="O125" s="12">
        <f>(Shoe_Sales[[#This Row],[Quantity]]*Shoe_Sales[[#This Row],[Cost Price]])</f>
        <v>870</v>
      </c>
      <c r="P125" s="12">
        <f>(Shoe_Sales[[#This Row],[Revenue]]-Shoe_Sales[[#This Row],[Cost]])</f>
        <v>705</v>
      </c>
      <c r="Q125" s="15">
        <f>(Shoe_Sales[[#This Row],[Profit]]/Shoe_Sales[[#This Row],[Revenue]])</f>
        <v>0.44761904761904764</v>
      </c>
    </row>
    <row r="126" spans="1:17" x14ac:dyDescent="0.25">
      <c r="A126" s="8">
        <v>46050</v>
      </c>
      <c r="B126" s="2" t="s">
        <v>64</v>
      </c>
      <c r="C126" s="2" t="str">
        <f t="shared" si="2"/>
        <v>Derby</v>
      </c>
      <c r="D126" s="2" t="s">
        <v>39</v>
      </c>
      <c r="E126" s="2" t="str">
        <f t="shared" si="3"/>
        <v>Formal</v>
      </c>
      <c r="F126" s="2" t="s">
        <v>19</v>
      </c>
      <c r="G126" s="2" t="s">
        <v>34</v>
      </c>
      <c r="H126" s="2" t="str">
        <f>PROPER(Shoe_Sales[[#This Row],[Brand]])</f>
        <v>Clarks</v>
      </c>
      <c r="I126" s="2" t="s">
        <v>58</v>
      </c>
      <c r="J126" s="3">
        <v>5</v>
      </c>
      <c r="K126" s="2" t="s">
        <v>79</v>
      </c>
      <c r="L126" s="12">
        <f>VLOOKUP(Shoe_Sales[[#This Row],[Product Cleaned]],Price!$A$2:$C$9,2,FALSE)</f>
        <v>32</v>
      </c>
      <c r="M126" s="12">
        <f>VLOOKUP(Shoe_Sales[[#This Row],[Product Cleaned]],Price!$A$2:$C$9,3,0)</f>
        <v>14</v>
      </c>
      <c r="N126" s="12">
        <f>(Shoe_Sales[[#This Row],[Quantity]]*Shoe_Sales[[#This Row],[Selling Price]])</f>
        <v>160</v>
      </c>
      <c r="O126" s="12">
        <f>(Shoe_Sales[[#This Row],[Quantity]]*Shoe_Sales[[#This Row],[Cost Price]])</f>
        <v>70</v>
      </c>
      <c r="P126" s="12">
        <f>(Shoe_Sales[[#This Row],[Revenue]]-Shoe_Sales[[#This Row],[Cost]])</f>
        <v>90</v>
      </c>
      <c r="Q126" s="15">
        <f>(Shoe_Sales[[#This Row],[Profit]]/Shoe_Sales[[#This Row],[Revenue]])</f>
        <v>0.5625</v>
      </c>
    </row>
    <row r="127" spans="1:17" x14ac:dyDescent="0.25">
      <c r="A127" s="9">
        <v>46205</v>
      </c>
      <c r="B127" s="4" t="s">
        <v>47</v>
      </c>
      <c r="C127" s="2" t="str">
        <f t="shared" si="2"/>
        <v>Slippers</v>
      </c>
      <c r="D127" s="4" t="s">
        <v>52</v>
      </c>
      <c r="E127" s="2" t="str">
        <f t="shared" si="3"/>
        <v>Casual</v>
      </c>
      <c r="F127" s="4" t="s">
        <v>24</v>
      </c>
      <c r="G127" s="4" t="s">
        <v>15</v>
      </c>
      <c r="H127" s="4" t="str">
        <f>PROPER(Shoe_Sales[[#This Row],[Brand]])</f>
        <v>Steve Madden</v>
      </c>
      <c r="I127" s="4" t="s">
        <v>43</v>
      </c>
      <c r="J127" s="5">
        <v>3</v>
      </c>
      <c r="K127" s="4" t="s">
        <v>81</v>
      </c>
      <c r="L127" s="12">
        <f>VLOOKUP(Shoe_Sales[[#This Row],[Product Cleaned]],Price!$A$2:$C$9,2,FALSE)</f>
        <v>119</v>
      </c>
      <c r="M127" s="12">
        <f>VLOOKUP(Shoe_Sales[[#This Row],[Product Cleaned]],Price!$A$2:$C$9,3,0)</f>
        <v>67</v>
      </c>
      <c r="N127" s="12">
        <f>(Shoe_Sales[[#This Row],[Quantity]]*Shoe_Sales[[#This Row],[Selling Price]])</f>
        <v>357</v>
      </c>
      <c r="O127" s="12">
        <f>(Shoe_Sales[[#This Row],[Quantity]]*Shoe_Sales[[#This Row],[Cost Price]])</f>
        <v>201</v>
      </c>
      <c r="P127" s="12">
        <f>(Shoe_Sales[[#This Row],[Revenue]]-Shoe_Sales[[#This Row],[Cost]])</f>
        <v>156</v>
      </c>
      <c r="Q127" s="15">
        <f>(Shoe_Sales[[#This Row],[Profit]]/Shoe_Sales[[#This Row],[Revenue]])</f>
        <v>0.43697478991596639</v>
      </c>
    </row>
    <row r="128" spans="1:17" x14ac:dyDescent="0.25">
      <c r="A128" s="8">
        <v>46121</v>
      </c>
      <c r="B128" s="2" t="s">
        <v>59</v>
      </c>
      <c r="C128" s="2" t="str">
        <f t="shared" si="2"/>
        <v>Oxford</v>
      </c>
      <c r="D128" s="2" t="s">
        <v>8</v>
      </c>
      <c r="E128" s="2" t="str">
        <f t="shared" si="3"/>
        <v>Formal</v>
      </c>
      <c r="F128" s="2" t="s">
        <v>24</v>
      </c>
      <c r="G128" s="2" t="s">
        <v>69</v>
      </c>
      <c r="H128" s="2" t="str">
        <f>PROPER(Shoe_Sales[[#This Row],[Brand]])</f>
        <v>Nike</v>
      </c>
      <c r="I128" s="2" t="s">
        <v>16</v>
      </c>
      <c r="J128" s="3">
        <v>14</v>
      </c>
      <c r="K128" s="2" t="s">
        <v>81</v>
      </c>
      <c r="L128" s="12">
        <f>VLOOKUP(Shoe_Sales[[#This Row],[Product Cleaned]],Price!$A$2:$C$9,2,FALSE)</f>
        <v>105</v>
      </c>
      <c r="M128" s="12">
        <f>VLOOKUP(Shoe_Sales[[#This Row],[Product Cleaned]],Price!$A$2:$C$9,3,0)</f>
        <v>58</v>
      </c>
      <c r="N128" s="12">
        <f>(Shoe_Sales[[#This Row],[Quantity]]*Shoe_Sales[[#This Row],[Selling Price]])</f>
        <v>1470</v>
      </c>
      <c r="O128" s="12">
        <f>(Shoe_Sales[[#This Row],[Quantity]]*Shoe_Sales[[#This Row],[Cost Price]])</f>
        <v>812</v>
      </c>
      <c r="P128" s="12">
        <f>(Shoe_Sales[[#This Row],[Revenue]]-Shoe_Sales[[#This Row],[Cost]])</f>
        <v>658</v>
      </c>
      <c r="Q128" s="15">
        <f>(Shoe_Sales[[#This Row],[Profit]]/Shoe_Sales[[#This Row],[Revenue]])</f>
        <v>0.44761904761904764</v>
      </c>
    </row>
    <row r="129" spans="1:17" x14ac:dyDescent="0.25">
      <c r="A129" s="9">
        <v>46056</v>
      </c>
      <c r="B129" s="4" t="s">
        <v>75</v>
      </c>
      <c r="C129" s="2" t="str">
        <f t="shared" si="2"/>
        <v>Brogues</v>
      </c>
      <c r="D129" s="4" t="s">
        <v>8</v>
      </c>
      <c r="E129" s="2" t="str">
        <f t="shared" si="3"/>
        <v>Formal</v>
      </c>
      <c r="F129" s="4" t="s">
        <v>9</v>
      </c>
      <c r="G129" s="4" t="s">
        <v>60</v>
      </c>
      <c r="H129" s="4" t="str">
        <f>PROPER(Shoe_Sales[[#This Row],[Brand]])</f>
        <v>Clarks</v>
      </c>
      <c r="I129" s="4" t="s">
        <v>41</v>
      </c>
      <c r="J129" s="5">
        <v>7</v>
      </c>
      <c r="K129" s="4" t="s">
        <v>81</v>
      </c>
      <c r="L129" s="12">
        <f>VLOOKUP(Shoe_Sales[[#This Row],[Product Cleaned]],Price!$A$2:$C$9,2,FALSE)</f>
        <v>112</v>
      </c>
      <c r="M129" s="12">
        <f>VLOOKUP(Shoe_Sales[[#This Row],[Product Cleaned]],Price!$A$2:$C$9,3,0)</f>
        <v>64</v>
      </c>
      <c r="N129" s="12">
        <f>(Shoe_Sales[[#This Row],[Quantity]]*Shoe_Sales[[#This Row],[Selling Price]])</f>
        <v>784</v>
      </c>
      <c r="O129" s="12">
        <f>(Shoe_Sales[[#This Row],[Quantity]]*Shoe_Sales[[#This Row],[Cost Price]])</f>
        <v>448</v>
      </c>
      <c r="P129" s="12">
        <f>(Shoe_Sales[[#This Row],[Revenue]]-Shoe_Sales[[#This Row],[Cost]])</f>
        <v>336</v>
      </c>
      <c r="Q129" s="15">
        <f>(Shoe_Sales[[#This Row],[Profit]]/Shoe_Sales[[#This Row],[Revenue]])</f>
        <v>0.42857142857142855</v>
      </c>
    </row>
    <row r="130" spans="1:17" x14ac:dyDescent="0.25">
      <c r="A130" s="8">
        <v>46222</v>
      </c>
      <c r="B130" s="2" t="s">
        <v>7</v>
      </c>
      <c r="C130" s="2" t="str">
        <f t="shared" ref="C130:C193" si="4">TRIM(PROPER(B130))</f>
        <v>Derby</v>
      </c>
      <c r="D130" s="2" t="s">
        <v>72</v>
      </c>
      <c r="E130" s="2" t="str">
        <f t="shared" si="3"/>
        <v>Utility</v>
      </c>
      <c r="F130" s="2" t="s">
        <v>14</v>
      </c>
      <c r="G130" s="2" t="s">
        <v>53</v>
      </c>
      <c r="H130" s="2" t="str">
        <f>PROPER(Shoe_Sales[[#This Row],[Brand]])</f>
        <v>Zara</v>
      </c>
      <c r="I130" s="2" t="s">
        <v>54</v>
      </c>
      <c r="J130" s="3">
        <v>8</v>
      </c>
      <c r="K130" s="2" t="s">
        <v>81</v>
      </c>
      <c r="L130" s="12">
        <f>VLOOKUP(Shoe_Sales[[#This Row],[Product Cleaned]],Price!$A$2:$C$9,2,FALSE)</f>
        <v>32</v>
      </c>
      <c r="M130" s="12">
        <f>VLOOKUP(Shoe_Sales[[#This Row],[Product Cleaned]],Price!$A$2:$C$9,3,0)</f>
        <v>14</v>
      </c>
      <c r="N130" s="12">
        <f>(Shoe_Sales[[#This Row],[Quantity]]*Shoe_Sales[[#This Row],[Selling Price]])</f>
        <v>256</v>
      </c>
      <c r="O130" s="12">
        <f>(Shoe_Sales[[#This Row],[Quantity]]*Shoe_Sales[[#This Row],[Cost Price]])</f>
        <v>112</v>
      </c>
      <c r="P130" s="12">
        <f>(Shoe_Sales[[#This Row],[Revenue]]-Shoe_Sales[[#This Row],[Cost]])</f>
        <v>144</v>
      </c>
      <c r="Q130" s="15">
        <f>(Shoe_Sales[[#This Row],[Profit]]/Shoe_Sales[[#This Row],[Revenue]])</f>
        <v>0.5625</v>
      </c>
    </row>
    <row r="131" spans="1:17" x14ac:dyDescent="0.25">
      <c r="A131" s="9">
        <v>46210</v>
      </c>
      <c r="B131" s="4" t="s">
        <v>71</v>
      </c>
      <c r="C131" s="2" t="str">
        <f t="shared" si="4"/>
        <v>Boots</v>
      </c>
      <c r="D131" s="4" t="s">
        <v>33</v>
      </c>
      <c r="E131" s="2" t="str">
        <f t="shared" ref="E131:E194" si="5">PROPER(D131)</f>
        <v>Formal</v>
      </c>
      <c r="F131" s="4" t="s">
        <v>29</v>
      </c>
      <c r="G131" s="4" t="s">
        <v>40</v>
      </c>
      <c r="H131" s="4" t="str">
        <f>PROPER(Shoe_Sales[[#This Row],[Brand]])</f>
        <v>Zara</v>
      </c>
      <c r="I131" s="4" t="s">
        <v>54</v>
      </c>
      <c r="J131" s="5">
        <v>3</v>
      </c>
      <c r="K131" s="4" t="s">
        <v>80</v>
      </c>
      <c r="L131" s="12">
        <f>VLOOKUP(Shoe_Sales[[#This Row],[Product Cleaned]],Price!$A$2:$C$9,2,FALSE)</f>
        <v>76</v>
      </c>
      <c r="M131" s="12">
        <f>VLOOKUP(Shoe_Sales[[#This Row],[Product Cleaned]],Price!$A$2:$C$9,3,0)</f>
        <v>39</v>
      </c>
      <c r="N131" s="12">
        <f>(Shoe_Sales[[#This Row],[Quantity]]*Shoe_Sales[[#This Row],[Selling Price]])</f>
        <v>228</v>
      </c>
      <c r="O131" s="12">
        <f>(Shoe_Sales[[#This Row],[Quantity]]*Shoe_Sales[[#This Row],[Cost Price]])</f>
        <v>117</v>
      </c>
      <c r="P131" s="12">
        <f>(Shoe_Sales[[#This Row],[Revenue]]-Shoe_Sales[[#This Row],[Cost]])</f>
        <v>111</v>
      </c>
      <c r="Q131" s="15">
        <f>(Shoe_Sales[[#This Row],[Profit]]/Shoe_Sales[[#This Row],[Revenue]])</f>
        <v>0.48684210526315791</v>
      </c>
    </row>
    <row r="132" spans="1:17" x14ac:dyDescent="0.25">
      <c r="A132" s="8">
        <v>46065</v>
      </c>
      <c r="B132" s="2" t="s">
        <v>74</v>
      </c>
      <c r="C132" s="2" t="str">
        <f t="shared" si="4"/>
        <v>Oxford</v>
      </c>
      <c r="D132" s="2" t="s">
        <v>8</v>
      </c>
      <c r="E132" s="2" t="str">
        <f t="shared" si="5"/>
        <v>Formal</v>
      </c>
      <c r="F132" s="2" t="s">
        <v>14</v>
      </c>
      <c r="G132" s="2" t="s">
        <v>40</v>
      </c>
      <c r="H132" s="2" t="str">
        <f>PROPER(Shoe_Sales[[#This Row],[Brand]])</f>
        <v>Zara</v>
      </c>
      <c r="I132" s="2" t="s">
        <v>35</v>
      </c>
      <c r="J132" s="3">
        <v>10</v>
      </c>
      <c r="K132" s="2" t="s">
        <v>80</v>
      </c>
      <c r="L132" s="12">
        <f>VLOOKUP(Shoe_Sales[[#This Row],[Product Cleaned]],Price!$A$2:$C$9,2,FALSE)</f>
        <v>105</v>
      </c>
      <c r="M132" s="12">
        <f>VLOOKUP(Shoe_Sales[[#This Row],[Product Cleaned]],Price!$A$2:$C$9,3,0)</f>
        <v>58</v>
      </c>
      <c r="N132" s="12">
        <f>(Shoe_Sales[[#This Row],[Quantity]]*Shoe_Sales[[#This Row],[Selling Price]])</f>
        <v>1050</v>
      </c>
      <c r="O132" s="12">
        <f>(Shoe_Sales[[#This Row],[Quantity]]*Shoe_Sales[[#This Row],[Cost Price]])</f>
        <v>580</v>
      </c>
      <c r="P132" s="12">
        <f>(Shoe_Sales[[#This Row],[Revenue]]-Shoe_Sales[[#This Row],[Cost]])</f>
        <v>470</v>
      </c>
      <c r="Q132" s="15">
        <f>(Shoe_Sales[[#This Row],[Profit]]/Shoe_Sales[[#This Row],[Revenue]])</f>
        <v>0.44761904761904764</v>
      </c>
    </row>
    <row r="133" spans="1:17" x14ac:dyDescent="0.25">
      <c r="A133" s="9">
        <v>46025</v>
      </c>
      <c r="B133" s="4" t="s">
        <v>7</v>
      </c>
      <c r="C133" s="2" t="str">
        <f t="shared" si="4"/>
        <v>Derby</v>
      </c>
      <c r="D133" s="4" t="s">
        <v>8</v>
      </c>
      <c r="E133" s="2" t="str">
        <f t="shared" si="5"/>
        <v>Formal</v>
      </c>
      <c r="F133" s="4" t="s">
        <v>19</v>
      </c>
      <c r="G133" s="4" t="s">
        <v>60</v>
      </c>
      <c r="H133" s="4" t="str">
        <f>PROPER(Shoe_Sales[[#This Row],[Brand]])</f>
        <v>Clarks</v>
      </c>
      <c r="I133" s="4" t="s">
        <v>58</v>
      </c>
      <c r="J133" s="5">
        <v>15</v>
      </c>
      <c r="K133" s="4" t="s">
        <v>82</v>
      </c>
      <c r="L133" s="12">
        <f>VLOOKUP(Shoe_Sales[[#This Row],[Product Cleaned]],Price!$A$2:$C$9,2,FALSE)</f>
        <v>32</v>
      </c>
      <c r="M133" s="12">
        <f>VLOOKUP(Shoe_Sales[[#This Row],[Product Cleaned]],Price!$A$2:$C$9,3,0)</f>
        <v>14</v>
      </c>
      <c r="N133" s="12">
        <f>(Shoe_Sales[[#This Row],[Quantity]]*Shoe_Sales[[#This Row],[Selling Price]])</f>
        <v>480</v>
      </c>
      <c r="O133" s="12">
        <f>(Shoe_Sales[[#This Row],[Quantity]]*Shoe_Sales[[#This Row],[Cost Price]])</f>
        <v>210</v>
      </c>
      <c r="P133" s="12">
        <f>(Shoe_Sales[[#This Row],[Revenue]]-Shoe_Sales[[#This Row],[Cost]])</f>
        <v>270</v>
      </c>
      <c r="Q133" s="15">
        <f>(Shoe_Sales[[#This Row],[Profit]]/Shoe_Sales[[#This Row],[Revenue]])</f>
        <v>0.5625</v>
      </c>
    </row>
    <row r="134" spans="1:17" x14ac:dyDescent="0.25">
      <c r="A134" s="8">
        <v>46163</v>
      </c>
      <c r="B134" s="2" t="s">
        <v>70</v>
      </c>
      <c r="C134" s="2" t="str">
        <f t="shared" si="4"/>
        <v>Loafers</v>
      </c>
      <c r="D134" s="2" t="s">
        <v>8</v>
      </c>
      <c r="E134" s="2" t="str">
        <f t="shared" si="5"/>
        <v>Formal</v>
      </c>
      <c r="F134" s="2" t="s">
        <v>29</v>
      </c>
      <c r="G134" s="2" t="s">
        <v>57</v>
      </c>
      <c r="H134" s="2" t="str">
        <f>PROPER(Shoe_Sales[[#This Row],[Brand]])</f>
        <v>Timberland</v>
      </c>
      <c r="I134" s="2" t="s">
        <v>35</v>
      </c>
      <c r="J134" s="3">
        <v>8</v>
      </c>
      <c r="K134" s="2" t="s">
        <v>81</v>
      </c>
      <c r="L134" s="12">
        <f>VLOOKUP(Shoe_Sales[[#This Row],[Product Cleaned]],Price!$A$2:$C$9,2,FALSE)</f>
        <v>54</v>
      </c>
      <c r="M134" s="12">
        <f>VLOOKUP(Shoe_Sales[[#This Row],[Product Cleaned]],Price!$A$2:$C$9,3,0)</f>
        <v>28</v>
      </c>
      <c r="N134" s="12">
        <f>(Shoe_Sales[[#This Row],[Quantity]]*Shoe_Sales[[#This Row],[Selling Price]])</f>
        <v>432</v>
      </c>
      <c r="O134" s="12">
        <f>(Shoe_Sales[[#This Row],[Quantity]]*Shoe_Sales[[#This Row],[Cost Price]])</f>
        <v>224</v>
      </c>
      <c r="P134" s="12">
        <f>(Shoe_Sales[[#This Row],[Revenue]]-Shoe_Sales[[#This Row],[Cost]])</f>
        <v>208</v>
      </c>
      <c r="Q134" s="15">
        <f>(Shoe_Sales[[#This Row],[Profit]]/Shoe_Sales[[#This Row],[Revenue]])</f>
        <v>0.48148148148148145</v>
      </c>
    </row>
    <row r="135" spans="1:17" x14ac:dyDescent="0.25">
      <c r="A135" s="9">
        <v>46233</v>
      </c>
      <c r="B135" s="4" t="s">
        <v>55</v>
      </c>
      <c r="C135" s="2" t="str">
        <f t="shared" si="4"/>
        <v>Boots</v>
      </c>
      <c r="D135" s="4" t="s">
        <v>23</v>
      </c>
      <c r="E135" s="2" t="str">
        <f t="shared" si="5"/>
        <v>Casual</v>
      </c>
      <c r="F135" s="4" t="s">
        <v>29</v>
      </c>
      <c r="G135" s="4" t="s">
        <v>66</v>
      </c>
      <c r="H135" s="4" t="str">
        <f>PROPER(Shoe_Sales[[#This Row],[Brand]])</f>
        <v>Steve Madden</v>
      </c>
      <c r="I135" s="4" t="s">
        <v>46</v>
      </c>
      <c r="J135" s="5">
        <v>9</v>
      </c>
      <c r="K135" s="4" t="s">
        <v>82</v>
      </c>
      <c r="L135" s="12">
        <f>VLOOKUP(Shoe_Sales[[#This Row],[Product Cleaned]],Price!$A$2:$C$9,2,FALSE)</f>
        <v>76</v>
      </c>
      <c r="M135" s="12">
        <f>VLOOKUP(Shoe_Sales[[#This Row],[Product Cleaned]],Price!$A$2:$C$9,3,0)</f>
        <v>39</v>
      </c>
      <c r="N135" s="12">
        <f>(Shoe_Sales[[#This Row],[Quantity]]*Shoe_Sales[[#This Row],[Selling Price]])</f>
        <v>684</v>
      </c>
      <c r="O135" s="12">
        <f>(Shoe_Sales[[#This Row],[Quantity]]*Shoe_Sales[[#This Row],[Cost Price]])</f>
        <v>351</v>
      </c>
      <c r="P135" s="12">
        <f>(Shoe_Sales[[#This Row],[Revenue]]-Shoe_Sales[[#This Row],[Cost]])</f>
        <v>333</v>
      </c>
      <c r="Q135" s="15">
        <f>(Shoe_Sales[[#This Row],[Profit]]/Shoe_Sales[[#This Row],[Revenue]])</f>
        <v>0.48684210526315791</v>
      </c>
    </row>
    <row r="136" spans="1:17" x14ac:dyDescent="0.25">
      <c r="A136" s="8">
        <v>46223</v>
      </c>
      <c r="B136" s="2" t="s">
        <v>17</v>
      </c>
      <c r="C136" s="2" t="str">
        <f t="shared" si="4"/>
        <v>Slippers</v>
      </c>
      <c r="D136" s="2" t="s">
        <v>39</v>
      </c>
      <c r="E136" s="2" t="str">
        <f t="shared" si="5"/>
        <v>Formal</v>
      </c>
      <c r="F136" s="2" t="s">
        <v>9</v>
      </c>
      <c r="G136" s="2" t="s">
        <v>25</v>
      </c>
      <c r="H136" s="2" t="str">
        <f>PROPER(Shoe_Sales[[#This Row],[Brand]])</f>
        <v>Zara</v>
      </c>
      <c r="I136" s="2" t="s">
        <v>61</v>
      </c>
      <c r="J136" s="3">
        <v>10</v>
      </c>
      <c r="K136" s="2" t="s">
        <v>79</v>
      </c>
      <c r="L136" s="12">
        <f>VLOOKUP(Shoe_Sales[[#This Row],[Product Cleaned]],Price!$A$2:$C$9,2,FALSE)</f>
        <v>119</v>
      </c>
      <c r="M136" s="12">
        <f>VLOOKUP(Shoe_Sales[[#This Row],[Product Cleaned]],Price!$A$2:$C$9,3,0)</f>
        <v>67</v>
      </c>
      <c r="N136" s="12">
        <f>(Shoe_Sales[[#This Row],[Quantity]]*Shoe_Sales[[#This Row],[Selling Price]])</f>
        <v>1190</v>
      </c>
      <c r="O136" s="12">
        <f>(Shoe_Sales[[#This Row],[Quantity]]*Shoe_Sales[[#This Row],[Cost Price]])</f>
        <v>670</v>
      </c>
      <c r="P136" s="12">
        <f>(Shoe_Sales[[#This Row],[Revenue]]-Shoe_Sales[[#This Row],[Cost]])</f>
        <v>520</v>
      </c>
      <c r="Q136" s="15">
        <f>(Shoe_Sales[[#This Row],[Profit]]/Shoe_Sales[[#This Row],[Revenue]])</f>
        <v>0.43697478991596639</v>
      </c>
    </row>
    <row r="137" spans="1:17" x14ac:dyDescent="0.25">
      <c r="A137" s="9">
        <v>46121</v>
      </c>
      <c r="B137" s="4" t="s">
        <v>62</v>
      </c>
      <c r="C137" s="2" t="str">
        <f t="shared" si="4"/>
        <v>Brogues</v>
      </c>
      <c r="D137" s="4" t="s">
        <v>39</v>
      </c>
      <c r="E137" s="2" t="str">
        <f t="shared" si="5"/>
        <v>Formal</v>
      </c>
      <c r="F137" s="4" t="s">
        <v>19</v>
      </c>
      <c r="G137" s="4" t="s">
        <v>69</v>
      </c>
      <c r="H137" s="4" t="str">
        <f>PROPER(Shoe_Sales[[#This Row],[Brand]])</f>
        <v>Nike</v>
      </c>
      <c r="I137" s="4" t="s">
        <v>50</v>
      </c>
      <c r="J137" s="5">
        <v>6</v>
      </c>
      <c r="K137" s="4" t="s">
        <v>80</v>
      </c>
      <c r="L137" s="12">
        <f>VLOOKUP(Shoe_Sales[[#This Row],[Product Cleaned]],Price!$A$2:$C$9,2,FALSE)</f>
        <v>112</v>
      </c>
      <c r="M137" s="12">
        <f>VLOOKUP(Shoe_Sales[[#This Row],[Product Cleaned]],Price!$A$2:$C$9,3,0)</f>
        <v>64</v>
      </c>
      <c r="N137" s="12">
        <f>(Shoe_Sales[[#This Row],[Quantity]]*Shoe_Sales[[#This Row],[Selling Price]])</f>
        <v>672</v>
      </c>
      <c r="O137" s="12">
        <f>(Shoe_Sales[[#This Row],[Quantity]]*Shoe_Sales[[#This Row],[Cost Price]])</f>
        <v>384</v>
      </c>
      <c r="P137" s="12">
        <f>(Shoe_Sales[[#This Row],[Revenue]]-Shoe_Sales[[#This Row],[Cost]])</f>
        <v>288</v>
      </c>
      <c r="Q137" s="15">
        <f>(Shoe_Sales[[#This Row],[Profit]]/Shoe_Sales[[#This Row],[Revenue]])</f>
        <v>0.42857142857142855</v>
      </c>
    </row>
    <row r="138" spans="1:17" x14ac:dyDescent="0.25">
      <c r="A138" s="8">
        <v>46173</v>
      </c>
      <c r="B138" s="2" t="s">
        <v>44</v>
      </c>
      <c r="C138" s="2" t="str">
        <f t="shared" si="4"/>
        <v>Canvas</v>
      </c>
      <c r="D138" s="2" t="s">
        <v>39</v>
      </c>
      <c r="E138" s="2" t="str">
        <f t="shared" si="5"/>
        <v>Formal</v>
      </c>
      <c r="F138" s="2" t="s">
        <v>24</v>
      </c>
      <c r="G138" s="2" t="s">
        <v>40</v>
      </c>
      <c r="H138" s="2" t="str">
        <f>PROPER(Shoe_Sales[[#This Row],[Brand]])</f>
        <v>Zara</v>
      </c>
      <c r="I138" s="2" t="s">
        <v>58</v>
      </c>
      <c r="J138" s="3">
        <v>7</v>
      </c>
      <c r="K138" s="2" t="s">
        <v>80</v>
      </c>
      <c r="L138" s="12">
        <f>VLOOKUP(Shoe_Sales[[#This Row],[Product Cleaned]],Price!$A$2:$C$9,2,FALSE)</f>
        <v>128</v>
      </c>
      <c r="M138" s="12">
        <f>VLOOKUP(Shoe_Sales[[#This Row],[Product Cleaned]],Price!$A$2:$C$9,3,0)</f>
        <v>72</v>
      </c>
      <c r="N138" s="12">
        <f>(Shoe_Sales[[#This Row],[Quantity]]*Shoe_Sales[[#This Row],[Selling Price]])</f>
        <v>896</v>
      </c>
      <c r="O138" s="12">
        <f>(Shoe_Sales[[#This Row],[Quantity]]*Shoe_Sales[[#This Row],[Cost Price]])</f>
        <v>504</v>
      </c>
      <c r="P138" s="12">
        <f>(Shoe_Sales[[#This Row],[Revenue]]-Shoe_Sales[[#This Row],[Cost]])</f>
        <v>392</v>
      </c>
      <c r="Q138" s="15">
        <f>(Shoe_Sales[[#This Row],[Profit]]/Shoe_Sales[[#This Row],[Revenue]])</f>
        <v>0.4375</v>
      </c>
    </row>
    <row r="139" spans="1:17" x14ac:dyDescent="0.25">
      <c r="A139" s="9">
        <v>46219</v>
      </c>
      <c r="B139" s="4" t="s">
        <v>55</v>
      </c>
      <c r="C139" s="2" t="str">
        <f t="shared" si="4"/>
        <v>Boots</v>
      </c>
      <c r="D139" s="4" t="s">
        <v>48</v>
      </c>
      <c r="E139" s="2" t="str">
        <f t="shared" si="5"/>
        <v>Open</v>
      </c>
      <c r="F139" s="4" t="s">
        <v>19</v>
      </c>
      <c r="G139" s="4" t="s">
        <v>15</v>
      </c>
      <c r="H139" s="4" t="str">
        <f>PROPER(Shoe_Sales[[#This Row],[Brand]])</f>
        <v>Steve Madden</v>
      </c>
      <c r="I139" s="4" t="s">
        <v>21</v>
      </c>
      <c r="J139" s="5">
        <v>15</v>
      </c>
      <c r="K139" s="4" t="s">
        <v>81</v>
      </c>
      <c r="L139" s="12">
        <f>VLOOKUP(Shoe_Sales[[#This Row],[Product Cleaned]],Price!$A$2:$C$9,2,FALSE)</f>
        <v>76</v>
      </c>
      <c r="M139" s="12">
        <f>VLOOKUP(Shoe_Sales[[#This Row],[Product Cleaned]],Price!$A$2:$C$9,3,0)</f>
        <v>39</v>
      </c>
      <c r="N139" s="12">
        <f>(Shoe_Sales[[#This Row],[Quantity]]*Shoe_Sales[[#This Row],[Selling Price]])</f>
        <v>1140</v>
      </c>
      <c r="O139" s="12">
        <f>(Shoe_Sales[[#This Row],[Quantity]]*Shoe_Sales[[#This Row],[Cost Price]])</f>
        <v>585</v>
      </c>
      <c r="P139" s="12">
        <f>(Shoe_Sales[[#This Row],[Revenue]]-Shoe_Sales[[#This Row],[Cost]])</f>
        <v>555</v>
      </c>
      <c r="Q139" s="15">
        <f>(Shoe_Sales[[#This Row],[Profit]]/Shoe_Sales[[#This Row],[Revenue]])</f>
        <v>0.48684210526315791</v>
      </c>
    </row>
    <row r="140" spans="1:17" x14ac:dyDescent="0.25">
      <c r="A140" s="8">
        <v>46203</v>
      </c>
      <c r="B140" s="2" t="s">
        <v>76</v>
      </c>
      <c r="C140" s="2" t="str">
        <f t="shared" si="4"/>
        <v>Monk Straps</v>
      </c>
      <c r="D140" s="2" t="s">
        <v>33</v>
      </c>
      <c r="E140" s="2" t="str">
        <f t="shared" si="5"/>
        <v>Formal</v>
      </c>
      <c r="F140" s="2" t="s">
        <v>24</v>
      </c>
      <c r="G140" s="2" t="s">
        <v>25</v>
      </c>
      <c r="H140" s="2" t="str">
        <f>PROPER(Shoe_Sales[[#This Row],[Brand]])</f>
        <v>Zara</v>
      </c>
      <c r="I140" s="2" t="s">
        <v>50</v>
      </c>
      <c r="J140" s="3">
        <v>11</v>
      </c>
      <c r="K140" s="2" t="s">
        <v>79</v>
      </c>
      <c r="L140" s="12">
        <f>VLOOKUP(Shoe_Sales[[#This Row],[Product Cleaned]],Price!$A$2:$C$9,2,FALSE)</f>
        <v>89</v>
      </c>
      <c r="M140" s="12">
        <f>VLOOKUP(Shoe_Sales[[#This Row],[Product Cleaned]],Price!$A$2:$C$9,3,0)</f>
        <v>47</v>
      </c>
      <c r="N140" s="12">
        <f>(Shoe_Sales[[#This Row],[Quantity]]*Shoe_Sales[[#This Row],[Selling Price]])</f>
        <v>979</v>
      </c>
      <c r="O140" s="12">
        <f>(Shoe_Sales[[#This Row],[Quantity]]*Shoe_Sales[[#This Row],[Cost Price]])</f>
        <v>517</v>
      </c>
      <c r="P140" s="12">
        <f>(Shoe_Sales[[#This Row],[Revenue]]-Shoe_Sales[[#This Row],[Cost]])</f>
        <v>462</v>
      </c>
      <c r="Q140" s="15">
        <f>(Shoe_Sales[[#This Row],[Profit]]/Shoe_Sales[[#This Row],[Revenue]])</f>
        <v>0.47191011235955055</v>
      </c>
    </row>
    <row r="141" spans="1:17" x14ac:dyDescent="0.25">
      <c r="A141" s="9">
        <v>46156</v>
      </c>
      <c r="B141" s="4" t="s">
        <v>44</v>
      </c>
      <c r="C141" s="2" t="str">
        <f t="shared" si="4"/>
        <v>Canvas</v>
      </c>
      <c r="D141" s="4" t="s">
        <v>13</v>
      </c>
      <c r="E141" s="2" t="str">
        <f t="shared" si="5"/>
        <v>Casual</v>
      </c>
      <c r="F141" s="4" t="s">
        <v>19</v>
      </c>
      <c r="G141" s="4" t="s">
        <v>49</v>
      </c>
      <c r="H141" s="4" t="str">
        <f>PROPER(Shoe_Sales[[#This Row],[Brand]])</f>
        <v>Nike</v>
      </c>
      <c r="I141" s="4" t="s">
        <v>11</v>
      </c>
      <c r="J141" s="5">
        <v>8</v>
      </c>
      <c r="K141" s="4" t="s">
        <v>80</v>
      </c>
      <c r="L141" s="12">
        <f>VLOOKUP(Shoe_Sales[[#This Row],[Product Cleaned]],Price!$A$2:$C$9,2,FALSE)</f>
        <v>128</v>
      </c>
      <c r="M141" s="12">
        <f>VLOOKUP(Shoe_Sales[[#This Row],[Product Cleaned]],Price!$A$2:$C$9,3,0)</f>
        <v>72</v>
      </c>
      <c r="N141" s="12">
        <f>(Shoe_Sales[[#This Row],[Quantity]]*Shoe_Sales[[#This Row],[Selling Price]])</f>
        <v>1024</v>
      </c>
      <c r="O141" s="12">
        <f>(Shoe_Sales[[#This Row],[Quantity]]*Shoe_Sales[[#This Row],[Cost Price]])</f>
        <v>576</v>
      </c>
      <c r="P141" s="12">
        <f>(Shoe_Sales[[#This Row],[Revenue]]-Shoe_Sales[[#This Row],[Cost]])</f>
        <v>448</v>
      </c>
      <c r="Q141" s="15">
        <f>(Shoe_Sales[[#This Row],[Profit]]/Shoe_Sales[[#This Row],[Revenue]])</f>
        <v>0.4375</v>
      </c>
    </row>
    <row r="142" spans="1:17" x14ac:dyDescent="0.25">
      <c r="A142" s="8">
        <v>46244</v>
      </c>
      <c r="B142" s="2" t="s">
        <v>76</v>
      </c>
      <c r="C142" s="2" t="str">
        <f t="shared" si="4"/>
        <v>Monk Straps</v>
      </c>
      <c r="D142" s="2" t="s">
        <v>33</v>
      </c>
      <c r="E142" s="2" t="str">
        <f t="shared" si="5"/>
        <v>Formal</v>
      </c>
      <c r="F142" s="2" t="s">
        <v>29</v>
      </c>
      <c r="G142" s="2" t="s">
        <v>53</v>
      </c>
      <c r="H142" s="2" t="str">
        <f>PROPER(Shoe_Sales[[#This Row],[Brand]])</f>
        <v>Zara</v>
      </c>
      <c r="I142" s="2" t="s">
        <v>41</v>
      </c>
      <c r="J142" s="3">
        <v>8</v>
      </c>
      <c r="K142" s="2" t="s">
        <v>79</v>
      </c>
      <c r="L142" s="12">
        <f>VLOOKUP(Shoe_Sales[[#This Row],[Product Cleaned]],Price!$A$2:$C$9,2,FALSE)</f>
        <v>89</v>
      </c>
      <c r="M142" s="12">
        <f>VLOOKUP(Shoe_Sales[[#This Row],[Product Cleaned]],Price!$A$2:$C$9,3,0)</f>
        <v>47</v>
      </c>
      <c r="N142" s="12">
        <f>(Shoe_Sales[[#This Row],[Quantity]]*Shoe_Sales[[#This Row],[Selling Price]])</f>
        <v>712</v>
      </c>
      <c r="O142" s="12">
        <f>(Shoe_Sales[[#This Row],[Quantity]]*Shoe_Sales[[#This Row],[Cost Price]])</f>
        <v>376</v>
      </c>
      <c r="P142" s="12">
        <f>(Shoe_Sales[[#This Row],[Revenue]]-Shoe_Sales[[#This Row],[Cost]])</f>
        <v>336</v>
      </c>
      <c r="Q142" s="15">
        <f>(Shoe_Sales[[#This Row],[Profit]]/Shoe_Sales[[#This Row],[Revenue]])</f>
        <v>0.47191011235955055</v>
      </c>
    </row>
    <row r="143" spans="1:17" x14ac:dyDescent="0.25">
      <c r="A143" s="9">
        <v>46050</v>
      </c>
      <c r="B143" s="4" t="s">
        <v>44</v>
      </c>
      <c r="C143" s="2" t="str">
        <f t="shared" si="4"/>
        <v>Canvas</v>
      </c>
      <c r="D143" s="4" t="s">
        <v>56</v>
      </c>
      <c r="E143" s="2" t="str">
        <f t="shared" si="5"/>
        <v>Utility</v>
      </c>
      <c r="F143" s="4" t="s">
        <v>14</v>
      </c>
      <c r="G143" s="4" t="s">
        <v>49</v>
      </c>
      <c r="H143" s="4" t="str">
        <f>PROPER(Shoe_Sales[[#This Row],[Brand]])</f>
        <v>Nike</v>
      </c>
      <c r="I143" s="4" t="s">
        <v>50</v>
      </c>
      <c r="J143" s="5">
        <v>2</v>
      </c>
      <c r="K143" s="4" t="s">
        <v>82</v>
      </c>
      <c r="L143" s="12">
        <f>VLOOKUP(Shoe_Sales[[#This Row],[Product Cleaned]],Price!$A$2:$C$9,2,FALSE)</f>
        <v>128</v>
      </c>
      <c r="M143" s="12">
        <f>VLOOKUP(Shoe_Sales[[#This Row],[Product Cleaned]],Price!$A$2:$C$9,3,0)</f>
        <v>72</v>
      </c>
      <c r="N143" s="12">
        <f>(Shoe_Sales[[#This Row],[Quantity]]*Shoe_Sales[[#This Row],[Selling Price]])</f>
        <v>256</v>
      </c>
      <c r="O143" s="12">
        <f>(Shoe_Sales[[#This Row],[Quantity]]*Shoe_Sales[[#This Row],[Cost Price]])</f>
        <v>144</v>
      </c>
      <c r="P143" s="12">
        <f>(Shoe_Sales[[#This Row],[Revenue]]-Shoe_Sales[[#This Row],[Cost]])</f>
        <v>112</v>
      </c>
      <c r="Q143" s="15">
        <f>(Shoe_Sales[[#This Row],[Profit]]/Shoe_Sales[[#This Row],[Revenue]])</f>
        <v>0.4375</v>
      </c>
    </row>
    <row r="144" spans="1:17" x14ac:dyDescent="0.25">
      <c r="A144" s="8">
        <v>46069</v>
      </c>
      <c r="B144" s="2" t="s">
        <v>59</v>
      </c>
      <c r="C144" s="2" t="str">
        <f t="shared" si="4"/>
        <v>Oxford</v>
      </c>
      <c r="D144" s="2" t="s">
        <v>8</v>
      </c>
      <c r="E144" s="2" t="str">
        <f t="shared" si="5"/>
        <v>Formal</v>
      </c>
      <c r="F144" s="2" t="s">
        <v>19</v>
      </c>
      <c r="G144" s="2" t="s">
        <v>34</v>
      </c>
      <c r="H144" s="2" t="str">
        <f>PROPER(Shoe_Sales[[#This Row],[Brand]])</f>
        <v>Clarks</v>
      </c>
      <c r="I144" s="2" t="s">
        <v>21</v>
      </c>
      <c r="J144" s="3">
        <v>12</v>
      </c>
      <c r="K144" s="2" t="s">
        <v>80</v>
      </c>
      <c r="L144" s="12">
        <f>VLOOKUP(Shoe_Sales[[#This Row],[Product Cleaned]],Price!$A$2:$C$9,2,FALSE)</f>
        <v>105</v>
      </c>
      <c r="M144" s="12">
        <f>VLOOKUP(Shoe_Sales[[#This Row],[Product Cleaned]],Price!$A$2:$C$9,3,0)</f>
        <v>58</v>
      </c>
      <c r="N144" s="12">
        <f>(Shoe_Sales[[#This Row],[Quantity]]*Shoe_Sales[[#This Row],[Selling Price]])</f>
        <v>1260</v>
      </c>
      <c r="O144" s="12">
        <f>(Shoe_Sales[[#This Row],[Quantity]]*Shoe_Sales[[#This Row],[Cost Price]])</f>
        <v>696</v>
      </c>
      <c r="P144" s="12">
        <f>(Shoe_Sales[[#This Row],[Revenue]]-Shoe_Sales[[#This Row],[Cost]])</f>
        <v>564</v>
      </c>
      <c r="Q144" s="15">
        <f>(Shoe_Sales[[#This Row],[Profit]]/Shoe_Sales[[#This Row],[Revenue]])</f>
        <v>0.44761904761904764</v>
      </c>
    </row>
    <row r="145" spans="1:17" x14ac:dyDescent="0.25">
      <c r="A145" s="9">
        <v>46229</v>
      </c>
      <c r="B145" s="4" t="s">
        <v>12</v>
      </c>
      <c r="C145" s="2" t="str">
        <f t="shared" si="4"/>
        <v>Canvas</v>
      </c>
      <c r="D145" s="4" t="s">
        <v>39</v>
      </c>
      <c r="E145" s="2" t="str">
        <f t="shared" si="5"/>
        <v>Formal</v>
      </c>
      <c r="F145" s="4" t="s">
        <v>24</v>
      </c>
      <c r="G145" s="4" t="s">
        <v>53</v>
      </c>
      <c r="H145" s="4" t="str">
        <f>PROPER(Shoe_Sales[[#This Row],[Brand]])</f>
        <v>Zara</v>
      </c>
      <c r="I145" s="4" t="s">
        <v>35</v>
      </c>
      <c r="J145" s="5">
        <v>13</v>
      </c>
      <c r="K145" s="4" t="s">
        <v>81</v>
      </c>
      <c r="L145" s="12">
        <f>VLOOKUP(Shoe_Sales[[#This Row],[Product Cleaned]],Price!$A$2:$C$9,2,FALSE)</f>
        <v>128</v>
      </c>
      <c r="M145" s="12">
        <f>VLOOKUP(Shoe_Sales[[#This Row],[Product Cleaned]],Price!$A$2:$C$9,3,0)</f>
        <v>72</v>
      </c>
      <c r="N145" s="12">
        <f>(Shoe_Sales[[#This Row],[Quantity]]*Shoe_Sales[[#This Row],[Selling Price]])</f>
        <v>1664</v>
      </c>
      <c r="O145" s="12">
        <f>(Shoe_Sales[[#This Row],[Quantity]]*Shoe_Sales[[#This Row],[Cost Price]])</f>
        <v>936</v>
      </c>
      <c r="P145" s="12">
        <f>(Shoe_Sales[[#This Row],[Revenue]]-Shoe_Sales[[#This Row],[Cost]])</f>
        <v>728</v>
      </c>
      <c r="Q145" s="15">
        <f>(Shoe_Sales[[#This Row],[Profit]]/Shoe_Sales[[#This Row],[Revenue]])</f>
        <v>0.4375</v>
      </c>
    </row>
    <row r="146" spans="1:17" x14ac:dyDescent="0.25">
      <c r="A146" s="8">
        <v>46109</v>
      </c>
      <c r="B146" s="2" t="s">
        <v>51</v>
      </c>
      <c r="C146" s="2" t="str">
        <f t="shared" si="4"/>
        <v>Loafers</v>
      </c>
      <c r="D146" s="2" t="s">
        <v>13</v>
      </c>
      <c r="E146" s="2" t="str">
        <f t="shared" si="5"/>
        <v>Casual</v>
      </c>
      <c r="F146" s="2" t="s">
        <v>9</v>
      </c>
      <c r="G146" s="2" t="s">
        <v>30</v>
      </c>
      <c r="H146" s="2" t="str">
        <f>PROPER(Shoe_Sales[[#This Row],[Brand]])</f>
        <v>Timberland</v>
      </c>
      <c r="I146" s="2" t="s">
        <v>35</v>
      </c>
      <c r="J146" s="3">
        <v>3</v>
      </c>
      <c r="K146" s="2" t="s">
        <v>79</v>
      </c>
      <c r="L146" s="12">
        <f>VLOOKUP(Shoe_Sales[[#This Row],[Product Cleaned]],Price!$A$2:$C$9,2,FALSE)</f>
        <v>54</v>
      </c>
      <c r="M146" s="12">
        <f>VLOOKUP(Shoe_Sales[[#This Row],[Product Cleaned]],Price!$A$2:$C$9,3,0)</f>
        <v>28</v>
      </c>
      <c r="N146" s="12">
        <f>(Shoe_Sales[[#This Row],[Quantity]]*Shoe_Sales[[#This Row],[Selling Price]])</f>
        <v>162</v>
      </c>
      <c r="O146" s="12">
        <f>(Shoe_Sales[[#This Row],[Quantity]]*Shoe_Sales[[#This Row],[Cost Price]])</f>
        <v>84</v>
      </c>
      <c r="P146" s="12">
        <f>(Shoe_Sales[[#This Row],[Revenue]]-Shoe_Sales[[#This Row],[Cost]])</f>
        <v>78</v>
      </c>
      <c r="Q146" s="15">
        <f>(Shoe_Sales[[#This Row],[Profit]]/Shoe_Sales[[#This Row],[Revenue]])</f>
        <v>0.48148148148148145</v>
      </c>
    </row>
    <row r="147" spans="1:17" x14ac:dyDescent="0.25">
      <c r="A147" s="9">
        <v>46130</v>
      </c>
      <c r="B147" s="4" t="s">
        <v>65</v>
      </c>
      <c r="C147" s="2" t="str">
        <f t="shared" si="4"/>
        <v>Canvas</v>
      </c>
      <c r="D147" s="4" t="s">
        <v>33</v>
      </c>
      <c r="E147" s="2" t="str">
        <f t="shared" si="5"/>
        <v>Formal</v>
      </c>
      <c r="F147" s="4" t="s">
        <v>9</v>
      </c>
      <c r="G147" s="4" t="s">
        <v>25</v>
      </c>
      <c r="H147" s="4" t="str">
        <f>PROPER(Shoe_Sales[[#This Row],[Brand]])</f>
        <v>Zara</v>
      </c>
      <c r="I147" s="4" t="s">
        <v>46</v>
      </c>
      <c r="J147" s="5">
        <v>11</v>
      </c>
      <c r="K147" s="4" t="s">
        <v>80</v>
      </c>
      <c r="L147" s="12">
        <f>VLOOKUP(Shoe_Sales[[#This Row],[Product Cleaned]],Price!$A$2:$C$9,2,FALSE)</f>
        <v>128</v>
      </c>
      <c r="M147" s="12">
        <f>VLOOKUP(Shoe_Sales[[#This Row],[Product Cleaned]],Price!$A$2:$C$9,3,0)</f>
        <v>72</v>
      </c>
      <c r="N147" s="12">
        <f>(Shoe_Sales[[#This Row],[Quantity]]*Shoe_Sales[[#This Row],[Selling Price]])</f>
        <v>1408</v>
      </c>
      <c r="O147" s="12">
        <f>(Shoe_Sales[[#This Row],[Quantity]]*Shoe_Sales[[#This Row],[Cost Price]])</f>
        <v>792</v>
      </c>
      <c r="P147" s="12">
        <f>(Shoe_Sales[[#This Row],[Revenue]]-Shoe_Sales[[#This Row],[Cost]])</f>
        <v>616</v>
      </c>
      <c r="Q147" s="15">
        <f>(Shoe_Sales[[#This Row],[Profit]]/Shoe_Sales[[#This Row],[Revenue]])</f>
        <v>0.4375</v>
      </c>
    </row>
    <row r="148" spans="1:17" x14ac:dyDescent="0.25">
      <c r="A148" s="8">
        <v>46194</v>
      </c>
      <c r="B148" s="2" t="s">
        <v>75</v>
      </c>
      <c r="C148" s="2" t="str">
        <f t="shared" si="4"/>
        <v>Brogues</v>
      </c>
      <c r="D148" s="2" t="s">
        <v>8</v>
      </c>
      <c r="E148" s="2" t="str">
        <f t="shared" si="5"/>
        <v>Formal</v>
      </c>
      <c r="F148" s="2" t="s">
        <v>19</v>
      </c>
      <c r="G148" s="2" t="s">
        <v>40</v>
      </c>
      <c r="H148" s="2" t="str">
        <f>PROPER(Shoe_Sales[[#This Row],[Brand]])</f>
        <v>Zara</v>
      </c>
      <c r="I148" s="2" t="s">
        <v>26</v>
      </c>
      <c r="J148" s="3">
        <v>3</v>
      </c>
      <c r="K148" s="2" t="s">
        <v>79</v>
      </c>
      <c r="L148" s="12">
        <f>VLOOKUP(Shoe_Sales[[#This Row],[Product Cleaned]],Price!$A$2:$C$9,2,FALSE)</f>
        <v>112</v>
      </c>
      <c r="M148" s="12">
        <f>VLOOKUP(Shoe_Sales[[#This Row],[Product Cleaned]],Price!$A$2:$C$9,3,0)</f>
        <v>64</v>
      </c>
      <c r="N148" s="12">
        <f>(Shoe_Sales[[#This Row],[Quantity]]*Shoe_Sales[[#This Row],[Selling Price]])</f>
        <v>336</v>
      </c>
      <c r="O148" s="12">
        <f>(Shoe_Sales[[#This Row],[Quantity]]*Shoe_Sales[[#This Row],[Cost Price]])</f>
        <v>192</v>
      </c>
      <c r="P148" s="12">
        <f>(Shoe_Sales[[#This Row],[Revenue]]-Shoe_Sales[[#This Row],[Cost]])</f>
        <v>144</v>
      </c>
      <c r="Q148" s="15">
        <f>(Shoe_Sales[[#This Row],[Profit]]/Shoe_Sales[[#This Row],[Revenue]])</f>
        <v>0.42857142857142855</v>
      </c>
    </row>
    <row r="149" spans="1:17" x14ac:dyDescent="0.25">
      <c r="A149" s="9">
        <v>46060</v>
      </c>
      <c r="B149" s="4" t="s">
        <v>32</v>
      </c>
      <c r="C149" s="2" t="str">
        <f t="shared" si="4"/>
        <v>Oxford</v>
      </c>
      <c r="D149" s="4" t="s">
        <v>18</v>
      </c>
      <c r="E149" s="2" t="str">
        <f t="shared" si="5"/>
        <v>Open</v>
      </c>
      <c r="F149" s="4" t="s">
        <v>29</v>
      </c>
      <c r="G149" s="4" t="s">
        <v>40</v>
      </c>
      <c r="H149" s="4" t="str">
        <f>PROPER(Shoe_Sales[[#This Row],[Brand]])</f>
        <v>Zara</v>
      </c>
      <c r="I149" s="4" t="s">
        <v>26</v>
      </c>
      <c r="J149" s="5">
        <v>14</v>
      </c>
      <c r="K149" s="4" t="s">
        <v>80</v>
      </c>
      <c r="L149" s="12">
        <f>VLOOKUP(Shoe_Sales[[#This Row],[Product Cleaned]],Price!$A$2:$C$9,2,FALSE)</f>
        <v>105</v>
      </c>
      <c r="M149" s="12">
        <f>VLOOKUP(Shoe_Sales[[#This Row],[Product Cleaned]],Price!$A$2:$C$9,3,0)</f>
        <v>58</v>
      </c>
      <c r="N149" s="12">
        <f>(Shoe_Sales[[#This Row],[Quantity]]*Shoe_Sales[[#This Row],[Selling Price]])</f>
        <v>1470</v>
      </c>
      <c r="O149" s="12">
        <f>(Shoe_Sales[[#This Row],[Quantity]]*Shoe_Sales[[#This Row],[Cost Price]])</f>
        <v>812</v>
      </c>
      <c r="P149" s="12">
        <f>(Shoe_Sales[[#This Row],[Revenue]]-Shoe_Sales[[#This Row],[Cost]])</f>
        <v>658</v>
      </c>
      <c r="Q149" s="15">
        <f>(Shoe_Sales[[#This Row],[Profit]]/Shoe_Sales[[#This Row],[Revenue]])</f>
        <v>0.44761904761904764</v>
      </c>
    </row>
    <row r="150" spans="1:17" x14ac:dyDescent="0.25">
      <c r="A150" s="8">
        <v>46065</v>
      </c>
      <c r="B150" s="2" t="s">
        <v>17</v>
      </c>
      <c r="C150" s="2" t="str">
        <f t="shared" si="4"/>
        <v>Slippers</v>
      </c>
      <c r="D150" s="2" t="s">
        <v>52</v>
      </c>
      <c r="E150" s="2" t="str">
        <f t="shared" si="5"/>
        <v>Casual</v>
      </c>
      <c r="F150" s="2" t="s">
        <v>14</v>
      </c>
      <c r="G150" s="2" t="s">
        <v>10</v>
      </c>
      <c r="H150" s="2" t="str">
        <f>PROPER(Shoe_Sales[[#This Row],[Brand]])</f>
        <v>Clarks</v>
      </c>
      <c r="I150" s="2" t="s">
        <v>26</v>
      </c>
      <c r="J150" s="3">
        <v>1</v>
      </c>
      <c r="K150" s="2" t="s">
        <v>81</v>
      </c>
      <c r="L150" s="12">
        <f>VLOOKUP(Shoe_Sales[[#This Row],[Product Cleaned]],Price!$A$2:$C$9,2,FALSE)</f>
        <v>119</v>
      </c>
      <c r="M150" s="12">
        <f>VLOOKUP(Shoe_Sales[[#This Row],[Product Cleaned]],Price!$A$2:$C$9,3,0)</f>
        <v>67</v>
      </c>
      <c r="N150" s="12">
        <f>(Shoe_Sales[[#This Row],[Quantity]]*Shoe_Sales[[#This Row],[Selling Price]])</f>
        <v>119</v>
      </c>
      <c r="O150" s="12">
        <f>(Shoe_Sales[[#This Row],[Quantity]]*Shoe_Sales[[#This Row],[Cost Price]])</f>
        <v>67</v>
      </c>
      <c r="P150" s="12">
        <f>(Shoe_Sales[[#This Row],[Revenue]]-Shoe_Sales[[#This Row],[Cost]])</f>
        <v>52</v>
      </c>
      <c r="Q150" s="15">
        <f>(Shoe_Sales[[#This Row],[Profit]]/Shoe_Sales[[#This Row],[Revenue]])</f>
        <v>0.43697478991596639</v>
      </c>
    </row>
    <row r="151" spans="1:17" x14ac:dyDescent="0.25">
      <c r="A151" s="9">
        <v>46166</v>
      </c>
      <c r="B151" s="4" t="s">
        <v>75</v>
      </c>
      <c r="C151" s="2" t="str">
        <f t="shared" si="4"/>
        <v>Brogues</v>
      </c>
      <c r="D151" s="4" t="s">
        <v>39</v>
      </c>
      <c r="E151" s="2" t="str">
        <f t="shared" si="5"/>
        <v>Formal</v>
      </c>
      <c r="F151" s="4" t="s">
        <v>29</v>
      </c>
      <c r="G151" s="4" t="s">
        <v>45</v>
      </c>
      <c r="H151" s="4" t="str">
        <f>PROPER(Shoe_Sales[[#This Row],[Brand]])</f>
        <v>Steve Madden</v>
      </c>
      <c r="I151" s="4" t="s">
        <v>35</v>
      </c>
      <c r="J151" s="5">
        <v>10</v>
      </c>
      <c r="K151" s="4" t="s">
        <v>79</v>
      </c>
      <c r="L151" s="12">
        <f>VLOOKUP(Shoe_Sales[[#This Row],[Product Cleaned]],Price!$A$2:$C$9,2,FALSE)</f>
        <v>112</v>
      </c>
      <c r="M151" s="12">
        <f>VLOOKUP(Shoe_Sales[[#This Row],[Product Cleaned]],Price!$A$2:$C$9,3,0)</f>
        <v>64</v>
      </c>
      <c r="N151" s="12">
        <f>(Shoe_Sales[[#This Row],[Quantity]]*Shoe_Sales[[#This Row],[Selling Price]])</f>
        <v>1120</v>
      </c>
      <c r="O151" s="12">
        <f>(Shoe_Sales[[#This Row],[Quantity]]*Shoe_Sales[[#This Row],[Cost Price]])</f>
        <v>640</v>
      </c>
      <c r="P151" s="12">
        <f>(Shoe_Sales[[#This Row],[Revenue]]-Shoe_Sales[[#This Row],[Cost]])</f>
        <v>480</v>
      </c>
      <c r="Q151" s="15">
        <f>(Shoe_Sales[[#This Row],[Profit]]/Shoe_Sales[[#This Row],[Revenue]])</f>
        <v>0.42857142857142855</v>
      </c>
    </row>
    <row r="152" spans="1:17" x14ac:dyDescent="0.25">
      <c r="A152" s="8">
        <v>46210</v>
      </c>
      <c r="B152" s="2" t="s">
        <v>38</v>
      </c>
      <c r="C152" s="2" t="str">
        <f t="shared" si="4"/>
        <v>Monk Straps</v>
      </c>
      <c r="D152" s="2" t="s">
        <v>8</v>
      </c>
      <c r="E152" s="2" t="str">
        <f t="shared" si="5"/>
        <v>Formal</v>
      </c>
      <c r="F152" s="2" t="s">
        <v>29</v>
      </c>
      <c r="G152" s="2" t="s">
        <v>20</v>
      </c>
      <c r="H152" s="2" t="str">
        <f>PROPER(Shoe_Sales[[#This Row],[Brand]])</f>
        <v>Nike</v>
      </c>
      <c r="I152" s="2" t="s">
        <v>54</v>
      </c>
      <c r="J152" s="3">
        <v>7</v>
      </c>
      <c r="K152" s="2" t="s">
        <v>79</v>
      </c>
      <c r="L152" s="12">
        <f>VLOOKUP(Shoe_Sales[[#This Row],[Product Cleaned]],Price!$A$2:$C$9,2,FALSE)</f>
        <v>89</v>
      </c>
      <c r="M152" s="12">
        <f>VLOOKUP(Shoe_Sales[[#This Row],[Product Cleaned]],Price!$A$2:$C$9,3,0)</f>
        <v>47</v>
      </c>
      <c r="N152" s="12">
        <f>(Shoe_Sales[[#This Row],[Quantity]]*Shoe_Sales[[#This Row],[Selling Price]])</f>
        <v>623</v>
      </c>
      <c r="O152" s="12">
        <f>(Shoe_Sales[[#This Row],[Quantity]]*Shoe_Sales[[#This Row],[Cost Price]])</f>
        <v>329</v>
      </c>
      <c r="P152" s="12">
        <f>(Shoe_Sales[[#This Row],[Revenue]]-Shoe_Sales[[#This Row],[Cost]])</f>
        <v>294</v>
      </c>
      <c r="Q152" s="15">
        <f>(Shoe_Sales[[#This Row],[Profit]]/Shoe_Sales[[#This Row],[Revenue]])</f>
        <v>0.47191011235955055</v>
      </c>
    </row>
    <row r="153" spans="1:17" x14ac:dyDescent="0.25">
      <c r="A153" s="9">
        <v>46125</v>
      </c>
      <c r="B153" s="4" t="s">
        <v>74</v>
      </c>
      <c r="C153" s="2" t="str">
        <f t="shared" si="4"/>
        <v>Oxford</v>
      </c>
      <c r="D153" s="4" t="s">
        <v>72</v>
      </c>
      <c r="E153" s="2" t="str">
        <f t="shared" si="5"/>
        <v>Utility</v>
      </c>
      <c r="F153" s="4" t="s">
        <v>14</v>
      </c>
      <c r="G153" s="4" t="s">
        <v>25</v>
      </c>
      <c r="H153" s="4" t="str">
        <f>PROPER(Shoe_Sales[[#This Row],[Brand]])</f>
        <v>Zara</v>
      </c>
      <c r="I153" s="4" t="s">
        <v>58</v>
      </c>
      <c r="J153" s="5">
        <v>6</v>
      </c>
      <c r="K153" s="4" t="s">
        <v>82</v>
      </c>
      <c r="L153" s="12">
        <f>VLOOKUP(Shoe_Sales[[#This Row],[Product Cleaned]],Price!$A$2:$C$9,2,FALSE)</f>
        <v>105</v>
      </c>
      <c r="M153" s="12">
        <f>VLOOKUP(Shoe_Sales[[#This Row],[Product Cleaned]],Price!$A$2:$C$9,3,0)</f>
        <v>58</v>
      </c>
      <c r="N153" s="12">
        <f>(Shoe_Sales[[#This Row],[Quantity]]*Shoe_Sales[[#This Row],[Selling Price]])</f>
        <v>630</v>
      </c>
      <c r="O153" s="12">
        <f>(Shoe_Sales[[#This Row],[Quantity]]*Shoe_Sales[[#This Row],[Cost Price]])</f>
        <v>348</v>
      </c>
      <c r="P153" s="12">
        <f>(Shoe_Sales[[#This Row],[Revenue]]-Shoe_Sales[[#This Row],[Cost]])</f>
        <v>282</v>
      </c>
      <c r="Q153" s="15">
        <f>(Shoe_Sales[[#This Row],[Profit]]/Shoe_Sales[[#This Row],[Revenue]])</f>
        <v>0.44761904761904764</v>
      </c>
    </row>
    <row r="154" spans="1:17" x14ac:dyDescent="0.25">
      <c r="A154" s="8">
        <v>46199</v>
      </c>
      <c r="B154" s="2" t="s">
        <v>75</v>
      </c>
      <c r="C154" s="2" t="str">
        <f t="shared" si="4"/>
        <v>Brogues</v>
      </c>
      <c r="D154" s="2" t="s">
        <v>56</v>
      </c>
      <c r="E154" s="2" t="str">
        <f t="shared" si="5"/>
        <v>Utility</v>
      </c>
      <c r="F154" s="2" t="s">
        <v>14</v>
      </c>
      <c r="G154" s="2" t="s">
        <v>20</v>
      </c>
      <c r="H154" s="2" t="str">
        <f>PROPER(Shoe_Sales[[#This Row],[Brand]])</f>
        <v>Nike</v>
      </c>
      <c r="I154" s="2" t="s">
        <v>37</v>
      </c>
      <c r="J154" s="3">
        <v>8</v>
      </c>
      <c r="K154" s="2" t="s">
        <v>79</v>
      </c>
      <c r="L154" s="12">
        <f>VLOOKUP(Shoe_Sales[[#This Row],[Product Cleaned]],Price!$A$2:$C$9,2,FALSE)</f>
        <v>112</v>
      </c>
      <c r="M154" s="12">
        <f>VLOOKUP(Shoe_Sales[[#This Row],[Product Cleaned]],Price!$A$2:$C$9,3,0)</f>
        <v>64</v>
      </c>
      <c r="N154" s="12">
        <f>(Shoe_Sales[[#This Row],[Quantity]]*Shoe_Sales[[#This Row],[Selling Price]])</f>
        <v>896</v>
      </c>
      <c r="O154" s="12">
        <f>(Shoe_Sales[[#This Row],[Quantity]]*Shoe_Sales[[#This Row],[Cost Price]])</f>
        <v>512</v>
      </c>
      <c r="P154" s="12">
        <f>(Shoe_Sales[[#This Row],[Revenue]]-Shoe_Sales[[#This Row],[Cost]])</f>
        <v>384</v>
      </c>
      <c r="Q154" s="15">
        <f>(Shoe_Sales[[#This Row],[Profit]]/Shoe_Sales[[#This Row],[Revenue]])</f>
        <v>0.42857142857142855</v>
      </c>
    </row>
    <row r="155" spans="1:17" x14ac:dyDescent="0.25">
      <c r="A155" s="9">
        <v>46092</v>
      </c>
      <c r="B155" s="4" t="s">
        <v>55</v>
      </c>
      <c r="C155" s="2" t="str">
        <f t="shared" si="4"/>
        <v>Boots</v>
      </c>
      <c r="D155" s="4" t="s">
        <v>39</v>
      </c>
      <c r="E155" s="2" t="str">
        <f t="shared" si="5"/>
        <v>Formal</v>
      </c>
      <c r="F155" s="4" t="s">
        <v>29</v>
      </c>
      <c r="G155" s="4" t="s">
        <v>53</v>
      </c>
      <c r="H155" s="4" t="str">
        <f>PROPER(Shoe_Sales[[#This Row],[Brand]])</f>
        <v>Zara</v>
      </c>
      <c r="I155" s="4" t="s">
        <v>54</v>
      </c>
      <c r="J155" s="5">
        <v>13</v>
      </c>
      <c r="K155" s="4" t="s">
        <v>80</v>
      </c>
      <c r="L155" s="12">
        <f>VLOOKUP(Shoe_Sales[[#This Row],[Product Cleaned]],Price!$A$2:$C$9,2,FALSE)</f>
        <v>76</v>
      </c>
      <c r="M155" s="12">
        <f>VLOOKUP(Shoe_Sales[[#This Row],[Product Cleaned]],Price!$A$2:$C$9,3,0)</f>
        <v>39</v>
      </c>
      <c r="N155" s="12">
        <f>(Shoe_Sales[[#This Row],[Quantity]]*Shoe_Sales[[#This Row],[Selling Price]])</f>
        <v>988</v>
      </c>
      <c r="O155" s="12">
        <f>(Shoe_Sales[[#This Row],[Quantity]]*Shoe_Sales[[#This Row],[Cost Price]])</f>
        <v>507</v>
      </c>
      <c r="P155" s="12">
        <f>(Shoe_Sales[[#This Row],[Revenue]]-Shoe_Sales[[#This Row],[Cost]])</f>
        <v>481</v>
      </c>
      <c r="Q155" s="15">
        <f>(Shoe_Sales[[#This Row],[Profit]]/Shoe_Sales[[#This Row],[Revenue]])</f>
        <v>0.48684210526315791</v>
      </c>
    </row>
    <row r="156" spans="1:17" x14ac:dyDescent="0.25">
      <c r="A156" s="8">
        <v>46194</v>
      </c>
      <c r="B156" s="2" t="s">
        <v>44</v>
      </c>
      <c r="C156" s="2" t="str">
        <f t="shared" si="4"/>
        <v>Canvas</v>
      </c>
      <c r="D156" s="2" t="s">
        <v>33</v>
      </c>
      <c r="E156" s="2" t="str">
        <f t="shared" si="5"/>
        <v>Formal</v>
      </c>
      <c r="F156" s="2" t="s">
        <v>9</v>
      </c>
      <c r="G156" s="2" t="s">
        <v>30</v>
      </c>
      <c r="H156" s="2" t="str">
        <f>PROPER(Shoe_Sales[[#This Row],[Brand]])</f>
        <v>Timberland</v>
      </c>
      <c r="I156" s="2" t="s">
        <v>11</v>
      </c>
      <c r="J156" s="3">
        <v>11</v>
      </c>
      <c r="K156" s="2" t="s">
        <v>80</v>
      </c>
      <c r="L156" s="12">
        <f>VLOOKUP(Shoe_Sales[[#This Row],[Product Cleaned]],Price!$A$2:$C$9,2,FALSE)</f>
        <v>128</v>
      </c>
      <c r="M156" s="12">
        <f>VLOOKUP(Shoe_Sales[[#This Row],[Product Cleaned]],Price!$A$2:$C$9,3,0)</f>
        <v>72</v>
      </c>
      <c r="N156" s="12">
        <f>(Shoe_Sales[[#This Row],[Quantity]]*Shoe_Sales[[#This Row],[Selling Price]])</f>
        <v>1408</v>
      </c>
      <c r="O156" s="12">
        <f>(Shoe_Sales[[#This Row],[Quantity]]*Shoe_Sales[[#This Row],[Cost Price]])</f>
        <v>792</v>
      </c>
      <c r="P156" s="12">
        <f>(Shoe_Sales[[#This Row],[Revenue]]-Shoe_Sales[[#This Row],[Cost]])</f>
        <v>616</v>
      </c>
      <c r="Q156" s="15">
        <f>(Shoe_Sales[[#This Row],[Profit]]/Shoe_Sales[[#This Row],[Revenue]])</f>
        <v>0.4375</v>
      </c>
    </row>
    <row r="157" spans="1:17" x14ac:dyDescent="0.25">
      <c r="A157" s="9">
        <v>46179</v>
      </c>
      <c r="B157" s="4" t="s">
        <v>36</v>
      </c>
      <c r="C157" s="2" t="str">
        <f t="shared" si="4"/>
        <v>Brogues</v>
      </c>
      <c r="D157" s="4" t="s">
        <v>33</v>
      </c>
      <c r="E157" s="2" t="str">
        <f t="shared" si="5"/>
        <v>Formal</v>
      </c>
      <c r="F157" s="4" t="s">
        <v>14</v>
      </c>
      <c r="G157" s="4" t="s">
        <v>53</v>
      </c>
      <c r="H157" s="4" t="str">
        <f>PROPER(Shoe_Sales[[#This Row],[Brand]])</f>
        <v>Zara</v>
      </c>
      <c r="I157" s="4" t="s">
        <v>21</v>
      </c>
      <c r="J157" s="5">
        <v>8</v>
      </c>
      <c r="K157" s="4" t="s">
        <v>82</v>
      </c>
      <c r="L157" s="12">
        <f>VLOOKUP(Shoe_Sales[[#This Row],[Product Cleaned]],Price!$A$2:$C$9,2,FALSE)</f>
        <v>112</v>
      </c>
      <c r="M157" s="12">
        <f>VLOOKUP(Shoe_Sales[[#This Row],[Product Cleaned]],Price!$A$2:$C$9,3,0)</f>
        <v>64</v>
      </c>
      <c r="N157" s="12">
        <f>(Shoe_Sales[[#This Row],[Quantity]]*Shoe_Sales[[#This Row],[Selling Price]])</f>
        <v>896</v>
      </c>
      <c r="O157" s="12">
        <f>(Shoe_Sales[[#This Row],[Quantity]]*Shoe_Sales[[#This Row],[Cost Price]])</f>
        <v>512</v>
      </c>
      <c r="P157" s="12">
        <f>(Shoe_Sales[[#This Row],[Revenue]]-Shoe_Sales[[#This Row],[Cost]])</f>
        <v>384</v>
      </c>
      <c r="Q157" s="15">
        <f>(Shoe_Sales[[#This Row],[Profit]]/Shoe_Sales[[#This Row],[Revenue]])</f>
        <v>0.42857142857142855</v>
      </c>
    </row>
    <row r="158" spans="1:17" x14ac:dyDescent="0.25">
      <c r="A158" s="8">
        <v>46024</v>
      </c>
      <c r="B158" s="2" t="s">
        <v>22</v>
      </c>
      <c r="C158" s="2" t="str">
        <f t="shared" si="4"/>
        <v>Loafers</v>
      </c>
      <c r="D158" s="2" t="s">
        <v>8</v>
      </c>
      <c r="E158" s="2" t="str">
        <f t="shared" si="5"/>
        <v>Formal</v>
      </c>
      <c r="F158" s="2" t="s">
        <v>9</v>
      </c>
      <c r="G158" s="2" t="s">
        <v>66</v>
      </c>
      <c r="H158" s="2" t="str">
        <f>PROPER(Shoe_Sales[[#This Row],[Brand]])</f>
        <v>Steve Madden</v>
      </c>
      <c r="I158" s="2" t="s">
        <v>46</v>
      </c>
      <c r="J158" s="3">
        <v>13</v>
      </c>
      <c r="K158" s="2" t="s">
        <v>82</v>
      </c>
      <c r="L158" s="12">
        <f>VLOOKUP(Shoe_Sales[[#This Row],[Product Cleaned]],Price!$A$2:$C$9,2,FALSE)</f>
        <v>54</v>
      </c>
      <c r="M158" s="12">
        <f>VLOOKUP(Shoe_Sales[[#This Row],[Product Cleaned]],Price!$A$2:$C$9,3,0)</f>
        <v>28</v>
      </c>
      <c r="N158" s="12">
        <f>(Shoe_Sales[[#This Row],[Quantity]]*Shoe_Sales[[#This Row],[Selling Price]])</f>
        <v>702</v>
      </c>
      <c r="O158" s="12">
        <f>(Shoe_Sales[[#This Row],[Quantity]]*Shoe_Sales[[#This Row],[Cost Price]])</f>
        <v>364</v>
      </c>
      <c r="P158" s="12">
        <f>(Shoe_Sales[[#This Row],[Revenue]]-Shoe_Sales[[#This Row],[Cost]])</f>
        <v>338</v>
      </c>
      <c r="Q158" s="15">
        <f>(Shoe_Sales[[#This Row],[Profit]]/Shoe_Sales[[#This Row],[Revenue]])</f>
        <v>0.48148148148148145</v>
      </c>
    </row>
    <row r="159" spans="1:17" x14ac:dyDescent="0.25">
      <c r="A159" s="9">
        <v>46024</v>
      </c>
      <c r="B159" s="4" t="s">
        <v>38</v>
      </c>
      <c r="C159" s="2" t="str">
        <f t="shared" si="4"/>
        <v>Monk Straps</v>
      </c>
      <c r="D159" s="4" t="s">
        <v>56</v>
      </c>
      <c r="E159" s="2" t="str">
        <f t="shared" si="5"/>
        <v>Utility</v>
      </c>
      <c r="F159" s="4" t="s">
        <v>24</v>
      </c>
      <c r="G159" s="4" t="s">
        <v>40</v>
      </c>
      <c r="H159" s="4" t="str">
        <f>PROPER(Shoe_Sales[[#This Row],[Brand]])</f>
        <v>Zara</v>
      </c>
      <c r="I159" s="4" t="s">
        <v>11</v>
      </c>
      <c r="J159" s="5">
        <v>12</v>
      </c>
      <c r="K159" s="4" t="s">
        <v>81</v>
      </c>
      <c r="L159" s="12">
        <f>VLOOKUP(Shoe_Sales[[#This Row],[Product Cleaned]],Price!$A$2:$C$9,2,FALSE)</f>
        <v>89</v>
      </c>
      <c r="M159" s="12">
        <f>VLOOKUP(Shoe_Sales[[#This Row],[Product Cleaned]],Price!$A$2:$C$9,3,0)</f>
        <v>47</v>
      </c>
      <c r="N159" s="12">
        <f>(Shoe_Sales[[#This Row],[Quantity]]*Shoe_Sales[[#This Row],[Selling Price]])</f>
        <v>1068</v>
      </c>
      <c r="O159" s="12">
        <f>(Shoe_Sales[[#This Row],[Quantity]]*Shoe_Sales[[#This Row],[Cost Price]])</f>
        <v>564</v>
      </c>
      <c r="P159" s="12">
        <f>(Shoe_Sales[[#This Row],[Revenue]]-Shoe_Sales[[#This Row],[Cost]])</f>
        <v>504</v>
      </c>
      <c r="Q159" s="15">
        <f>(Shoe_Sales[[#This Row],[Profit]]/Shoe_Sales[[#This Row],[Revenue]])</f>
        <v>0.47191011235955055</v>
      </c>
    </row>
    <row r="160" spans="1:17" x14ac:dyDescent="0.25">
      <c r="A160" s="8">
        <v>46106</v>
      </c>
      <c r="B160" s="2" t="s">
        <v>27</v>
      </c>
      <c r="C160" s="2" t="str">
        <f t="shared" si="4"/>
        <v>Boots</v>
      </c>
      <c r="D160" s="2" t="s">
        <v>52</v>
      </c>
      <c r="E160" s="2" t="str">
        <f t="shared" si="5"/>
        <v>Casual</v>
      </c>
      <c r="F160" s="2" t="s">
        <v>29</v>
      </c>
      <c r="G160" s="2" t="s">
        <v>60</v>
      </c>
      <c r="H160" s="2" t="str">
        <f>PROPER(Shoe_Sales[[#This Row],[Brand]])</f>
        <v>Clarks</v>
      </c>
      <c r="I160" s="2" t="s">
        <v>37</v>
      </c>
      <c r="J160" s="3">
        <v>1</v>
      </c>
      <c r="K160" s="2" t="s">
        <v>80</v>
      </c>
      <c r="L160" s="12">
        <f>VLOOKUP(Shoe_Sales[[#This Row],[Product Cleaned]],Price!$A$2:$C$9,2,FALSE)</f>
        <v>76</v>
      </c>
      <c r="M160" s="12">
        <f>VLOOKUP(Shoe_Sales[[#This Row],[Product Cleaned]],Price!$A$2:$C$9,3,0)</f>
        <v>39</v>
      </c>
      <c r="N160" s="12">
        <f>(Shoe_Sales[[#This Row],[Quantity]]*Shoe_Sales[[#This Row],[Selling Price]])</f>
        <v>76</v>
      </c>
      <c r="O160" s="12">
        <f>(Shoe_Sales[[#This Row],[Quantity]]*Shoe_Sales[[#This Row],[Cost Price]])</f>
        <v>39</v>
      </c>
      <c r="P160" s="12">
        <f>(Shoe_Sales[[#This Row],[Revenue]]-Shoe_Sales[[#This Row],[Cost]])</f>
        <v>37</v>
      </c>
      <c r="Q160" s="15">
        <f>(Shoe_Sales[[#This Row],[Profit]]/Shoe_Sales[[#This Row],[Revenue]])</f>
        <v>0.48684210526315791</v>
      </c>
    </row>
    <row r="161" spans="1:17" x14ac:dyDescent="0.25">
      <c r="A161" s="9">
        <v>46187</v>
      </c>
      <c r="B161" s="4" t="s">
        <v>70</v>
      </c>
      <c r="C161" s="2" t="str">
        <f t="shared" si="4"/>
        <v>Loafers</v>
      </c>
      <c r="D161" s="4" t="s">
        <v>8</v>
      </c>
      <c r="E161" s="2" t="str">
        <f t="shared" si="5"/>
        <v>Formal</v>
      </c>
      <c r="F161" s="4" t="s">
        <v>19</v>
      </c>
      <c r="G161" s="4" t="s">
        <v>10</v>
      </c>
      <c r="H161" s="4" t="str">
        <f>PROPER(Shoe_Sales[[#This Row],[Brand]])</f>
        <v>Clarks</v>
      </c>
      <c r="I161" s="4" t="s">
        <v>26</v>
      </c>
      <c r="J161" s="5">
        <v>10</v>
      </c>
      <c r="K161" s="4" t="s">
        <v>82</v>
      </c>
      <c r="L161" s="12">
        <f>VLOOKUP(Shoe_Sales[[#This Row],[Product Cleaned]],Price!$A$2:$C$9,2,FALSE)</f>
        <v>54</v>
      </c>
      <c r="M161" s="12">
        <f>VLOOKUP(Shoe_Sales[[#This Row],[Product Cleaned]],Price!$A$2:$C$9,3,0)</f>
        <v>28</v>
      </c>
      <c r="N161" s="12">
        <f>(Shoe_Sales[[#This Row],[Quantity]]*Shoe_Sales[[#This Row],[Selling Price]])</f>
        <v>540</v>
      </c>
      <c r="O161" s="12">
        <f>(Shoe_Sales[[#This Row],[Quantity]]*Shoe_Sales[[#This Row],[Cost Price]])</f>
        <v>280</v>
      </c>
      <c r="P161" s="12">
        <f>(Shoe_Sales[[#This Row],[Revenue]]-Shoe_Sales[[#This Row],[Cost]])</f>
        <v>260</v>
      </c>
      <c r="Q161" s="15">
        <f>(Shoe_Sales[[#This Row],[Profit]]/Shoe_Sales[[#This Row],[Revenue]])</f>
        <v>0.48148148148148145</v>
      </c>
    </row>
    <row r="162" spans="1:17" x14ac:dyDescent="0.25">
      <c r="A162" s="8">
        <v>46124</v>
      </c>
      <c r="B162" s="2" t="s">
        <v>38</v>
      </c>
      <c r="C162" s="2" t="str">
        <f t="shared" si="4"/>
        <v>Monk Straps</v>
      </c>
      <c r="D162" s="2" t="s">
        <v>23</v>
      </c>
      <c r="E162" s="2" t="str">
        <f t="shared" si="5"/>
        <v>Casual</v>
      </c>
      <c r="F162" s="2" t="s">
        <v>19</v>
      </c>
      <c r="G162" s="2" t="s">
        <v>66</v>
      </c>
      <c r="H162" s="2" t="str">
        <f>PROPER(Shoe_Sales[[#This Row],[Brand]])</f>
        <v>Steve Madden</v>
      </c>
      <c r="I162" s="2" t="s">
        <v>26</v>
      </c>
      <c r="J162" s="3">
        <v>15</v>
      </c>
      <c r="K162" s="2" t="s">
        <v>81</v>
      </c>
      <c r="L162" s="12">
        <f>VLOOKUP(Shoe_Sales[[#This Row],[Product Cleaned]],Price!$A$2:$C$9,2,FALSE)</f>
        <v>89</v>
      </c>
      <c r="M162" s="12">
        <f>VLOOKUP(Shoe_Sales[[#This Row],[Product Cleaned]],Price!$A$2:$C$9,3,0)</f>
        <v>47</v>
      </c>
      <c r="N162" s="12">
        <f>(Shoe_Sales[[#This Row],[Quantity]]*Shoe_Sales[[#This Row],[Selling Price]])</f>
        <v>1335</v>
      </c>
      <c r="O162" s="12">
        <f>(Shoe_Sales[[#This Row],[Quantity]]*Shoe_Sales[[#This Row],[Cost Price]])</f>
        <v>705</v>
      </c>
      <c r="P162" s="12">
        <f>(Shoe_Sales[[#This Row],[Revenue]]-Shoe_Sales[[#This Row],[Cost]])</f>
        <v>630</v>
      </c>
      <c r="Q162" s="15">
        <f>(Shoe_Sales[[#This Row],[Profit]]/Shoe_Sales[[#This Row],[Revenue]])</f>
        <v>0.47191011235955055</v>
      </c>
    </row>
    <row r="163" spans="1:17" x14ac:dyDescent="0.25">
      <c r="A163" s="9">
        <v>46086</v>
      </c>
      <c r="B163" s="4" t="s">
        <v>17</v>
      </c>
      <c r="C163" s="2" t="str">
        <f t="shared" si="4"/>
        <v>Slippers</v>
      </c>
      <c r="D163" s="4" t="s">
        <v>39</v>
      </c>
      <c r="E163" s="2" t="str">
        <f t="shared" si="5"/>
        <v>Formal</v>
      </c>
      <c r="F163" s="4" t="s">
        <v>14</v>
      </c>
      <c r="G163" s="4" t="s">
        <v>10</v>
      </c>
      <c r="H163" s="4" t="str">
        <f>PROPER(Shoe_Sales[[#This Row],[Brand]])</f>
        <v>Clarks</v>
      </c>
      <c r="I163" s="4" t="s">
        <v>54</v>
      </c>
      <c r="J163" s="5">
        <v>3</v>
      </c>
      <c r="K163" s="4" t="s">
        <v>82</v>
      </c>
      <c r="L163" s="12">
        <f>VLOOKUP(Shoe_Sales[[#This Row],[Product Cleaned]],Price!$A$2:$C$9,2,FALSE)</f>
        <v>119</v>
      </c>
      <c r="M163" s="12">
        <f>VLOOKUP(Shoe_Sales[[#This Row],[Product Cleaned]],Price!$A$2:$C$9,3,0)</f>
        <v>67</v>
      </c>
      <c r="N163" s="12">
        <f>(Shoe_Sales[[#This Row],[Quantity]]*Shoe_Sales[[#This Row],[Selling Price]])</f>
        <v>357</v>
      </c>
      <c r="O163" s="12">
        <f>(Shoe_Sales[[#This Row],[Quantity]]*Shoe_Sales[[#This Row],[Cost Price]])</f>
        <v>201</v>
      </c>
      <c r="P163" s="12">
        <f>(Shoe_Sales[[#This Row],[Revenue]]-Shoe_Sales[[#This Row],[Cost]])</f>
        <v>156</v>
      </c>
      <c r="Q163" s="15">
        <f>(Shoe_Sales[[#This Row],[Profit]]/Shoe_Sales[[#This Row],[Revenue]])</f>
        <v>0.43697478991596639</v>
      </c>
    </row>
    <row r="164" spans="1:17" x14ac:dyDescent="0.25">
      <c r="A164" s="8">
        <v>46028</v>
      </c>
      <c r="B164" s="2" t="s">
        <v>27</v>
      </c>
      <c r="C164" s="2" t="str">
        <f t="shared" si="4"/>
        <v>Boots</v>
      </c>
      <c r="D164" s="2" t="s">
        <v>23</v>
      </c>
      <c r="E164" s="2" t="str">
        <f t="shared" si="5"/>
        <v>Casual</v>
      </c>
      <c r="F164" s="2" t="s">
        <v>24</v>
      </c>
      <c r="G164" s="2" t="s">
        <v>66</v>
      </c>
      <c r="H164" s="2" t="str">
        <f>PROPER(Shoe_Sales[[#This Row],[Brand]])</f>
        <v>Steve Madden</v>
      </c>
      <c r="I164" s="2" t="s">
        <v>11</v>
      </c>
      <c r="J164" s="3">
        <v>1</v>
      </c>
      <c r="K164" s="2" t="s">
        <v>79</v>
      </c>
      <c r="L164" s="12">
        <f>VLOOKUP(Shoe_Sales[[#This Row],[Product Cleaned]],Price!$A$2:$C$9,2,FALSE)</f>
        <v>76</v>
      </c>
      <c r="M164" s="12">
        <f>VLOOKUP(Shoe_Sales[[#This Row],[Product Cleaned]],Price!$A$2:$C$9,3,0)</f>
        <v>39</v>
      </c>
      <c r="N164" s="12">
        <f>(Shoe_Sales[[#This Row],[Quantity]]*Shoe_Sales[[#This Row],[Selling Price]])</f>
        <v>76</v>
      </c>
      <c r="O164" s="12">
        <f>(Shoe_Sales[[#This Row],[Quantity]]*Shoe_Sales[[#This Row],[Cost Price]])</f>
        <v>39</v>
      </c>
      <c r="P164" s="12">
        <f>(Shoe_Sales[[#This Row],[Revenue]]-Shoe_Sales[[#This Row],[Cost]])</f>
        <v>37</v>
      </c>
      <c r="Q164" s="15">
        <f>(Shoe_Sales[[#This Row],[Profit]]/Shoe_Sales[[#This Row],[Revenue]])</f>
        <v>0.48684210526315791</v>
      </c>
    </row>
    <row r="165" spans="1:17" x14ac:dyDescent="0.25">
      <c r="A165" s="9">
        <v>46218</v>
      </c>
      <c r="B165" s="4" t="s">
        <v>22</v>
      </c>
      <c r="C165" s="2" t="str">
        <f t="shared" si="4"/>
        <v>Loafers</v>
      </c>
      <c r="D165" s="4" t="s">
        <v>23</v>
      </c>
      <c r="E165" s="2" t="str">
        <f t="shared" si="5"/>
        <v>Casual</v>
      </c>
      <c r="F165" s="4" t="s">
        <v>19</v>
      </c>
      <c r="G165" s="4" t="s">
        <v>34</v>
      </c>
      <c r="H165" s="4" t="str">
        <f>PROPER(Shoe_Sales[[#This Row],[Brand]])</f>
        <v>Clarks</v>
      </c>
      <c r="I165" s="4" t="s">
        <v>21</v>
      </c>
      <c r="J165" s="5">
        <v>9</v>
      </c>
      <c r="K165" s="4" t="s">
        <v>81</v>
      </c>
      <c r="L165" s="12">
        <f>VLOOKUP(Shoe_Sales[[#This Row],[Product Cleaned]],Price!$A$2:$C$9,2,FALSE)</f>
        <v>54</v>
      </c>
      <c r="M165" s="12">
        <f>VLOOKUP(Shoe_Sales[[#This Row],[Product Cleaned]],Price!$A$2:$C$9,3,0)</f>
        <v>28</v>
      </c>
      <c r="N165" s="12">
        <f>(Shoe_Sales[[#This Row],[Quantity]]*Shoe_Sales[[#This Row],[Selling Price]])</f>
        <v>486</v>
      </c>
      <c r="O165" s="12">
        <f>(Shoe_Sales[[#This Row],[Quantity]]*Shoe_Sales[[#This Row],[Cost Price]])</f>
        <v>252</v>
      </c>
      <c r="P165" s="12">
        <f>(Shoe_Sales[[#This Row],[Revenue]]-Shoe_Sales[[#This Row],[Cost]])</f>
        <v>234</v>
      </c>
      <c r="Q165" s="15">
        <f>(Shoe_Sales[[#This Row],[Profit]]/Shoe_Sales[[#This Row],[Revenue]])</f>
        <v>0.48148148148148145</v>
      </c>
    </row>
    <row r="166" spans="1:17" x14ac:dyDescent="0.25">
      <c r="A166" s="8">
        <v>46147</v>
      </c>
      <c r="B166" s="2" t="s">
        <v>42</v>
      </c>
      <c r="C166" s="2" t="str">
        <f t="shared" si="4"/>
        <v>Derby</v>
      </c>
      <c r="D166" s="2" t="s">
        <v>56</v>
      </c>
      <c r="E166" s="2" t="str">
        <f t="shared" si="5"/>
        <v>Utility</v>
      </c>
      <c r="F166" s="2" t="s">
        <v>9</v>
      </c>
      <c r="G166" s="2" t="s">
        <v>53</v>
      </c>
      <c r="H166" s="2" t="str">
        <f>PROPER(Shoe_Sales[[#This Row],[Brand]])</f>
        <v>Zara</v>
      </c>
      <c r="I166" s="2" t="s">
        <v>46</v>
      </c>
      <c r="J166" s="3">
        <v>13</v>
      </c>
      <c r="K166" s="2" t="s">
        <v>79</v>
      </c>
      <c r="L166" s="12">
        <f>VLOOKUP(Shoe_Sales[[#This Row],[Product Cleaned]],Price!$A$2:$C$9,2,FALSE)</f>
        <v>32</v>
      </c>
      <c r="M166" s="12">
        <f>VLOOKUP(Shoe_Sales[[#This Row],[Product Cleaned]],Price!$A$2:$C$9,3,0)</f>
        <v>14</v>
      </c>
      <c r="N166" s="12">
        <f>(Shoe_Sales[[#This Row],[Quantity]]*Shoe_Sales[[#This Row],[Selling Price]])</f>
        <v>416</v>
      </c>
      <c r="O166" s="12">
        <f>(Shoe_Sales[[#This Row],[Quantity]]*Shoe_Sales[[#This Row],[Cost Price]])</f>
        <v>182</v>
      </c>
      <c r="P166" s="12">
        <f>(Shoe_Sales[[#This Row],[Revenue]]-Shoe_Sales[[#This Row],[Cost]])</f>
        <v>234</v>
      </c>
      <c r="Q166" s="15">
        <f>(Shoe_Sales[[#This Row],[Profit]]/Shoe_Sales[[#This Row],[Revenue]])</f>
        <v>0.5625</v>
      </c>
    </row>
    <row r="167" spans="1:17" x14ac:dyDescent="0.25">
      <c r="A167" s="9">
        <v>46187</v>
      </c>
      <c r="B167" s="4" t="s">
        <v>17</v>
      </c>
      <c r="C167" s="2" t="str">
        <f t="shared" si="4"/>
        <v>Slippers</v>
      </c>
      <c r="D167" s="4" t="s">
        <v>48</v>
      </c>
      <c r="E167" s="2" t="str">
        <f t="shared" si="5"/>
        <v>Open</v>
      </c>
      <c r="F167" s="4" t="s">
        <v>9</v>
      </c>
      <c r="G167" s="4" t="s">
        <v>10</v>
      </c>
      <c r="H167" s="4" t="str">
        <f>PROPER(Shoe_Sales[[#This Row],[Brand]])</f>
        <v>Clarks</v>
      </c>
      <c r="I167" s="4" t="s">
        <v>58</v>
      </c>
      <c r="J167" s="5">
        <v>10</v>
      </c>
      <c r="K167" s="4" t="s">
        <v>80</v>
      </c>
      <c r="L167" s="12">
        <f>VLOOKUP(Shoe_Sales[[#This Row],[Product Cleaned]],Price!$A$2:$C$9,2,FALSE)</f>
        <v>119</v>
      </c>
      <c r="M167" s="12">
        <f>VLOOKUP(Shoe_Sales[[#This Row],[Product Cleaned]],Price!$A$2:$C$9,3,0)</f>
        <v>67</v>
      </c>
      <c r="N167" s="12">
        <f>(Shoe_Sales[[#This Row],[Quantity]]*Shoe_Sales[[#This Row],[Selling Price]])</f>
        <v>1190</v>
      </c>
      <c r="O167" s="12">
        <f>(Shoe_Sales[[#This Row],[Quantity]]*Shoe_Sales[[#This Row],[Cost Price]])</f>
        <v>670</v>
      </c>
      <c r="P167" s="12">
        <f>(Shoe_Sales[[#This Row],[Revenue]]-Shoe_Sales[[#This Row],[Cost]])</f>
        <v>520</v>
      </c>
      <c r="Q167" s="15">
        <f>(Shoe_Sales[[#This Row],[Profit]]/Shoe_Sales[[#This Row],[Revenue]])</f>
        <v>0.43697478991596639</v>
      </c>
    </row>
    <row r="168" spans="1:17" x14ac:dyDescent="0.25">
      <c r="A168" s="8">
        <v>46179</v>
      </c>
      <c r="B168" s="2" t="s">
        <v>76</v>
      </c>
      <c r="C168" s="2" t="str">
        <f t="shared" si="4"/>
        <v>Monk Straps</v>
      </c>
      <c r="D168" s="2" t="s">
        <v>39</v>
      </c>
      <c r="E168" s="2" t="str">
        <f t="shared" si="5"/>
        <v>Formal</v>
      </c>
      <c r="F168" s="2" t="s">
        <v>29</v>
      </c>
      <c r="G168" s="2" t="s">
        <v>69</v>
      </c>
      <c r="H168" s="2" t="str">
        <f>PROPER(Shoe_Sales[[#This Row],[Brand]])</f>
        <v>Nike</v>
      </c>
      <c r="I168" s="2" t="s">
        <v>61</v>
      </c>
      <c r="J168" s="3">
        <v>10</v>
      </c>
      <c r="K168" s="2" t="s">
        <v>79</v>
      </c>
      <c r="L168" s="12">
        <f>VLOOKUP(Shoe_Sales[[#This Row],[Product Cleaned]],Price!$A$2:$C$9,2,FALSE)</f>
        <v>89</v>
      </c>
      <c r="M168" s="12">
        <f>VLOOKUP(Shoe_Sales[[#This Row],[Product Cleaned]],Price!$A$2:$C$9,3,0)</f>
        <v>47</v>
      </c>
      <c r="N168" s="12">
        <f>(Shoe_Sales[[#This Row],[Quantity]]*Shoe_Sales[[#This Row],[Selling Price]])</f>
        <v>890</v>
      </c>
      <c r="O168" s="12">
        <f>(Shoe_Sales[[#This Row],[Quantity]]*Shoe_Sales[[#This Row],[Cost Price]])</f>
        <v>470</v>
      </c>
      <c r="P168" s="12">
        <f>(Shoe_Sales[[#This Row],[Revenue]]-Shoe_Sales[[#This Row],[Cost]])</f>
        <v>420</v>
      </c>
      <c r="Q168" s="15">
        <f>(Shoe_Sales[[#This Row],[Profit]]/Shoe_Sales[[#This Row],[Revenue]])</f>
        <v>0.47191011235955055</v>
      </c>
    </row>
    <row r="169" spans="1:17" x14ac:dyDescent="0.25">
      <c r="A169" s="9">
        <v>46220</v>
      </c>
      <c r="B169" s="4" t="s">
        <v>12</v>
      </c>
      <c r="C169" s="2" t="str">
        <f t="shared" si="4"/>
        <v>Canvas</v>
      </c>
      <c r="D169" s="4" t="s">
        <v>33</v>
      </c>
      <c r="E169" s="2" t="str">
        <f t="shared" si="5"/>
        <v>Formal</v>
      </c>
      <c r="F169" s="4" t="s">
        <v>14</v>
      </c>
      <c r="G169" s="4" t="s">
        <v>40</v>
      </c>
      <c r="H169" s="4" t="str">
        <f>PROPER(Shoe_Sales[[#This Row],[Brand]])</f>
        <v>Zara</v>
      </c>
      <c r="I169" s="4" t="s">
        <v>31</v>
      </c>
      <c r="J169" s="5">
        <v>15</v>
      </c>
      <c r="K169" s="4" t="s">
        <v>80</v>
      </c>
      <c r="L169" s="12">
        <f>VLOOKUP(Shoe_Sales[[#This Row],[Product Cleaned]],Price!$A$2:$C$9,2,FALSE)</f>
        <v>128</v>
      </c>
      <c r="M169" s="12">
        <f>VLOOKUP(Shoe_Sales[[#This Row],[Product Cleaned]],Price!$A$2:$C$9,3,0)</f>
        <v>72</v>
      </c>
      <c r="N169" s="12">
        <f>(Shoe_Sales[[#This Row],[Quantity]]*Shoe_Sales[[#This Row],[Selling Price]])</f>
        <v>1920</v>
      </c>
      <c r="O169" s="12">
        <f>(Shoe_Sales[[#This Row],[Quantity]]*Shoe_Sales[[#This Row],[Cost Price]])</f>
        <v>1080</v>
      </c>
      <c r="P169" s="12">
        <f>(Shoe_Sales[[#This Row],[Revenue]]-Shoe_Sales[[#This Row],[Cost]])</f>
        <v>840</v>
      </c>
      <c r="Q169" s="15">
        <f>(Shoe_Sales[[#This Row],[Profit]]/Shoe_Sales[[#This Row],[Revenue]])</f>
        <v>0.4375</v>
      </c>
    </row>
    <row r="170" spans="1:17" x14ac:dyDescent="0.25">
      <c r="A170" s="8">
        <v>46140</v>
      </c>
      <c r="B170" s="2" t="s">
        <v>64</v>
      </c>
      <c r="C170" s="2" t="str">
        <f t="shared" si="4"/>
        <v>Derby</v>
      </c>
      <c r="D170" s="2" t="s">
        <v>52</v>
      </c>
      <c r="E170" s="2" t="str">
        <f t="shared" si="5"/>
        <v>Casual</v>
      </c>
      <c r="F170" s="2" t="s">
        <v>19</v>
      </c>
      <c r="G170" s="2" t="s">
        <v>40</v>
      </c>
      <c r="H170" s="2" t="str">
        <f>PROPER(Shoe_Sales[[#This Row],[Brand]])</f>
        <v>Zara</v>
      </c>
      <c r="I170" s="2" t="s">
        <v>50</v>
      </c>
      <c r="J170" s="3">
        <v>9</v>
      </c>
      <c r="K170" s="2" t="s">
        <v>82</v>
      </c>
      <c r="L170" s="12">
        <f>VLOOKUP(Shoe_Sales[[#This Row],[Product Cleaned]],Price!$A$2:$C$9,2,FALSE)</f>
        <v>32</v>
      </c>
      <c r="M170" s="12">
        <f>VLOOKUP(Shoe_Sales[[#This Row],[Product Cleaned]],Price!$A$2:$C$9,3,0)</f>
        <v>14</v>
      </c>
      <c r="N170" s="12">
        <f>(Shoe_Sales[[#This Row],[Quantity]]*Shoe_Sales[[#This Row],[Selling Price]])</f>
        <v>288</v>
      </c>
      <c r="O170" s="12">
        <f>(Shoe_Sales[[#This Row],[Quantity]]*Shoe_Sales[[#This Row],[Cost Price]])</f>
        <v>126</v>
      </c>
      <c r="P170" s="12">
        <f>(Shoe_Sales[[#This Row],[Revenue]]-Shoe_Sales[[#This Row],[Cost]])</f>
        <v>162</v>
      </c>
      <c r="Q170" s="15">
        <f>(Shoe_Sales[[#This Row],[Profit]]/Shoe_Sales[[#This Row],[Revenue]])</f>
        <v>0.5625</v>
      </c>
    </row>
    <row r="171" spans="1:17" x14ac:dyDescent="0.25">
      <c r="A171" s="9">
        <v>46198</v>
      </c>
      <c r="B171" s="4" t="s">
        <v>75</v>
      </c>
      <c r="C171" s="2" t="str">
        <f t="shared" si="4"/>
        <v>Brogues</v>
      </c>
      <c r="D171" s="4" t="s">
        <v>52</v>
      </c>
      <c r="E171" s="2" t="str">
        <f t="shared" si="5"/>
        <v>Casual</v>
      </c>
      <c r="F171" s="4" t="s">
        <v>14</v>
      </c>
      <c r="G171" s="4" t="s">
        <v>15</v>
      </c>
      <c r="H171" s="4" t="str">
        <f>PROPER(Shoe_Sales[[#This Row],[Brand]])</f>
        <v>Steve Madden</v>
      </c>
      <c r="I171" s="4" t="s">
        <v>61</v>
      </c>
      <c r="J171" s="5">
        <v>14</v>
      </c>
      <c r="K171" s="4" t="s">
        <v>81</v>
      </c>
      <c r="L171" s="12">
        <f>VLOOKUP(Shoe_Sales[[#This Row],[Product Cleaned]],Price!$A$2:$C$9,2,FALSE)</f>
        <v>112</v>
      </c>
      <c r="M171" s="12">
        <f>VLOOKUP(Shoe_Sales[[#This Row],[Product Cleaned]],Price!$A$2:$C$9,3,0)</f>
        <v>64</v>
      </c>
      <c r="N171" s="12">
        <f>(Shoe_Sales[[#This Row],[Quantity]]*Shoe_Sales[[#This Row],[Selling Price]])</f>
        <v>1568</v>
      </c>
      <c r="O171" s="12">
        <f>(Shoe_Sales[[#This Row],[Quantity]]*Shoe_Sales[[#This Row],[Cost Price]])</f>
        <v>896</v>
      </c>
      <c r="P171" s="12">
        <f>(Shoe_Sales[[#This Row],[Revenue]]-Shoe_Sales[[#This Row],[Cost]])</f>
        <v>672</v>
      </c>
      <c r="Q171" s="15">
        <f>(Shoe_Sales[[#This Row],[Profit]]/Shoe_Sales[[#This Row],[Revenue]])</f>
        <v>0.42857142857142855</v>
      </c>
    </row>
    <row r="172" spans="1:17" x14ac:dyDescent="0.25">
      <c r="A172" s="8">
        <v>46120</v>
      </c>
      <c r="B172" s="2" t="s">
        <v>62</v>
      </c>
      <c r="C172" s="2" t="str">
        <f t="shared" si="4"/>
        <v>Brogues</v>
      </c>
      <c r="D172" s="2" t="s">
        <v>39</v>
      </c>
      <c r="E172" s="2" t="str">
        <f t="shared" si="5"/>
        <v>Formal</v>
      </c>
      <c r="F172" s="2" t="s">
        <v>9</v>
      </c>
      <c r="G172" s="2" t="s">
        <v>34</v>
      </c>
      <c r="H172" s="2" t="str">
        <f>PROPER(Shoe_Sales[[#This Row],[Brand]])</f>
        <v>Clarks</v>
      </c>
      <c r="I172" s="2" t="s">
        <v>21</v>
      </c>
      <c r="J172" s="3">
        <v>14</v>
      </c>
      <c r="K172" s="2" t="s">
        <v>82</v>
      </c>
      <c r="L172" s="12">
        <f>VLOOKUP(Shoe_Sales[[#This Row],[Product Cleaned]],Price!$A$2:$C$9,2,FALSE)</f>
        <v>112</v>
      </c>
      <c r="M172" s="12">
        <f>VLOOKUP(Shoe_Sales[[#This Row],[Product Cleaned]],Price!$A$2:$C$9,3,0)</f>
        <v>64</v>
      </c>
      <c r="N172" s="12">
        <f>(Shoe_Sales[[#This Row],[Quantity]]*Shoe_Sales[[#This Row],[Selling Price]])</f>
        <v>1568</v>
      </c>
      <c r="O172" s="12">
        <f>(Shoe_Sales[[#This Row],[Quantity]]*Shoe_Sales[[#This Row],[Cost Price]])</f>
        <v>896</v>
      </c>
      <c r="P172" s="12">
        <f>(Shoe_Sales[[#This Row],[Revenue]]-Shoe_Sales[[#This Row],[Cost]])</f>
        <v>672</v>
      </c>
      <c r="Q172" s="15">
        <f>(Shoe_Sales[[#This Row],[Profit]]/Shoe_Sales[[#This Row],[Revenue]])</f>
        <v>0.42857142857142855</v>
      </c>
    </row>
    <row r="173" spans="1:17" x14ac:dyDescent="0.25">
      <c r="A173" s="9">
        <v>46246</v>
      </c>
      <c r="B173" s="4" t="s">
        <v>65</v>
      </c>
      <c r="C173" s="2" t="str">
        <f t="shared" si="4"/>
        <v>Canvas</v>
      </c>
      <c r="D173" s="4" t="s">
        <v>8</v>
      </c>
      <c r="E173" s="2" t="str">
        <f t="shared" si="5"/>
        <v>Formal</v>
      </c>
      <c r="F173" s="4" t="s">
        <v>9</v>
      </c>
      <c r="G173" s="4" t="s">
        <v>25</v>
      </c>
      <c r="H173" s="4" t="str">
        <f>PROPER(Shoe_Sales[[#This Row],[Brand]])</f>
        <v>Zara</v>
      </c>
      <c r="I173" s="4" t="s">
        <v>31</v>
      </c>
      <c r="J173" s="5">
        <v>10</v>
      </c>
      <c r="K173" s="4" t="s">
        <v>80</v>
      </c>
      <c r="L173" s="12">
        <f>VLOOKUP(Shoe_Sales[[#This Row],[Product Cleaned]],Price!$A$2:$C$9,2,FALSE)</f>
        <v>128</v>
      </c>
      <c r="M173" s="12">
        <f>VLOOKUP(Shoe_Sales[[#This Row],[Product Cleaned]],Price!$A$2:$C$9,3,0)</f>
        <v>72</v>
      </c>
      <c r="N173" s="12">
        <f>(Shoe_Sales[[#This Row],[Quantity]]*Shoe_Sales[[#This Row],[Selling Price]])</f>
        <v>1280</v>
      </c>
      <c r="O173" s="12">
        <f>(Shoe_Sales[[#This Row],[Quantity]]*Shoe_Sales[[#This Row],[Cost Price]])</f>
        <v>720</v>
      </c>
      <c r="P173" s="12">
        <f>(Shoe_Sales[[#This Row],[Revenue]]-Shoe_Sales[[#This Row],[Cost]])</f>
        <v>560</v>
      </c>
      <c r="Q173" s="15">
        <f>(Shoe_Sales[[#This Row],[Profit]]/Shoe_Sales[[#This Row],[Revenue]])</f>
        <v>0.4375</v>
      </c>
    </row>
    <row r="174" spans="1:17" x14ac:dyDescent="0.25">
      <c r="A174" s="8">
        <v>46072</v>
      </c>
      <c r="B174" s="2" t="s">
        <v>75</v>
      </c>
      <c r="C174" s="2" t="str">
        <f t="shared" si="4"/>
        <v>Brogues</v>
      </c>
      <c r="D174" s="2" t="s">
        <v>52</v>
      </c>
      <c r="E174" s="2" t="str">
        <f t="shared" si="5"/>
        <v>Casual</v>
      </c>
      <c r="F174" s="2" t="s">
        <v>29</v>
      </c>
      <c r="G174" s="2" t="s">
        <v>40</v>
      </c>
      <c r="H174" s="2" t="str">
        <f>PROPER(Shoe_Sales[[#This Row],[Brand]])</f>
        <v>Zara</v>
      </c>
      <c r="I174" s="2" t="s">
        <v>50</v>
      </c>
      <c r="J174" s="3">
        <v>15</v>
      </c>
      <c r="K174" s="2" t="s">
        <v>79</v>
      </c>
      <c r="L174" s="12">
        <f>VLOOKUP(Shoe_Sales[[#This Row],[Product Cleaned]],Price!$A$2:$C$9,2,FALSE)</f>
        <v>112</v>
      </c>
      <c r="M174" s="12">
        <f>VLOOKUP(Shoe_Sales[[#This Row],[Product Cleaned]],Price!$A$2:$C$9,3,0)</f>
        <v>64</v>
      </c>
      <c r="N174" s="12">
        <f>(Shoe_Sales[[#This Row],[Quantity]]*Shoe_Sales[[#This Row],[Selling Price]])</f>
        <v>1680</v>
      </c>
      <c r="O174" s="12">
        <f>(Shoe_Sales[[#This Row],[Quantity]]*Shoe_Sales[[#This Row],[Cost Price]])</f>
        <v>960</v>
      </c>
      <c r="P174" s="12">
        <f>(Shoe_Sales[[#This Row],[Revenue]]-Shoe_Sales[[#This Row],[Cost]])</f>
        <v>720</v>
      </c>
      <c r="Q174" s="15">
        <f>(Shoe_Sales[[#This Row],[Profit]]/Shoe_Sales[[#This Row],[Revenue]])</f>
        <v>0.42857142857142855</v>
      </c>
    </row>
    <row r="175" spans="1:17" x14ac:dyDescent="0.25">
      <c r="A175" s="9">
        <v>46197</v>
      </c>
      <c r="B175" s="4" t="s">
        <v>7</v>
      </c>
      <c r="C175" s="2" t="str">
        <f t="shared" si="4"/>
        <v>Derby</v>
      </c>
      <c r="D175" s="4" t="s">
        <v>23</v>
      </c>
      <c r="E175" s="2" t="str">
        <f t="shared" si="5"/>
        <v>Casual</v>
      </c>
      <c r="F175" s="4" t="s">
        <v>24</v>
      </c>
      <c r="G175" s="4" t="s">
        <v>73</v>
      </c>
      <c r="H175" s="4" t="str">
        <f>PROPER(Shoe_Sales[[#This Row],[Brand]])</f>
        <v>Timberland</v>
      </c>
      <c r="I175" s="4" t="s">
        <v>46</v>
      </c>
      <c r="J175" s="5">
        <v>5</v>
      </c>
      <c r="K175" s="4" t="s">
        <v>82</v>
      </c>
      <c r="L175" s="12">
        <f>VLOOKUP(Shoe_Sales[[#This Row],[Product Cleaned]],Price!$A$2:$C$9,2,FALSE)</f>
        <v>32</v>
      </c>
      <c r="M175" s="12">
        <f>VLOOKUP(Shoe_Sales[[#This Row],[Product Cleaned]],Price!$A$2:$C$9,3,0)</f>
        <v>14</v>
      </c>
      <c r="N175" s="12">
        <f>(Shoe_Sales[[#This Row],[Quantity]]*Shoe_Sales[[#This Row],[Selling Price]])</f>
        <v>160</v>
      </c>
      <c r="O175" s="12">
        <f>(Shoe_Sales[[#This Row],[Quantity]]*Shoe_Sales[[#This Row],[Cost Price]])</f>
        <v>70</v>
      </c>
      <c r="P175" s="12">
        <f>(Shoe_Sales[[#This Row],[Revenue]]-Shoe_Sales[[#This Row],[Cost]])</f>
        <v>90</v>
      </c>
      <c r="Q175" s="15">
        <f>(Shoe_Sales[[#This Row],[Profit]]/Shoe_Sales[[#This Row],[Revenue]])</f>
        <v>0.5625</v>
      </c>
    </row>
    <row r="176" spans="1:17" x14ac:dyDescent="0.25">
      <c r="A176" s="8">
        <v>46057</v>
      </c>
      <c r="B176" s="2" t="s">
        <v>42</v>
      </c>
      <c r="C176" s="2" t="str">
        <f t="shared" si="4"/>
        <v>Derby</v>
      </c>
      <c r="D176" s="2" t="s">
        <v>39</v>
      </c>
      <c r="E176" s="2" t="str">
        <f t="shared" si="5"/>
        <v>Formal</v>
      </c>
      <c r="F176" s="2" t="s">
        <v>14</v>
      </c>
      <c r="G176" s="2" t="s">
        <v>73</v>
      </c>
      <c r="H176" s="2" t="str">
        <f>PROPER(Shoe_Sales[[#This Row],[Brand]])</f>
        <v>Timberland</v>
      </c>
      <c r="I176" s="2" t="s">
        <v>46</v>
      </c>
      <c r="J176" s="3">
        <v>15</v>
      </c>
      <c r="K176" s="2" t="s">
        <v>79</v>
      </c>
      <c r="L176" s="12">
        <f>VLOOKUP(Shoe_Sales[[#This Row],[Product Cleaned]],Price!$A$2:$C$9,2,FALSE)</f>
        <v>32</v>
      </c>
      <c r="M176" s="12">
        <f>VLOOKUP(Shoe_Sales[[#This Row],[Product Cleaned]],Price!$A$2:$C$9,3,0)</f>
        <v>14</v>
      </c>
      <c r="N176" s="12">
        <f>(Shoe_Sales[[#This Row],[Quantity]]*Shoe_Sales[[#This Row],[Selling Price]])</f>
        <v>480</v>
      </c>
      <c r="O176" s="12">
        <f>(Shoe_Sales[[#This Row],[Quantity]]*Shoe_Sales[[#This Row],[Cost Price]])</f>
        <v>210</v>
      </c>
      <c r="P176" s="12">
        <f>(Shoe_Sales[[#This Row],[Revenue]]-Shoe_Sales[[#This Row],[Cost]])</f>
        <v>270</v>
      </c>
      <c r="Q176" s="15">
        <f>(Shoe_Sales[[#This Row],[Profit]]/Shoe_Sales[[#This Row],[Revenue]])</f>
        <v>0.5625</v>
      </c>
    </row>
    <row r="177" spans="1:17" x14ac:dyDescent="0.25">
      <c r="A177" s="9">
        <v>46033</v>
      </c>
      <c r="B177" s="4" t="s">
        <v>65</v>
      </c>
      <c r="C177" s="2" t="str">
        <f t="shared" si="4"/>
        <v>Canvas</v>
      </c>
      <c r="D177" s="4" t="s">
        <v>52</v>
      </c>
      <c r="E177" s="2" t="str">
        <f t="shared" si="5"/>
        <v>Casual</v>
      </c>
      <c r="F177" s="4" t="s">
        <v>9</v>
      </c>
      <c r="G177" s="4" t="s">
        <v>30</v>
      </c>
      <c r="H177" s="4" t="str">
        <f>PROPER(Shoe_Sales[[#This Row],[Brand]])</f>
        <v>Timberland</v>
      </c>
      <c r="I177" s="4" t="s">
        <v>58</v>
      </c>
      <c r="J177" s="5">
        <v>13</v>
      </c>
      <c r="K177" s="4" t="s">
        <v>81</v>
      </c>
      <c r="L177" s="12">
        <f>VLOOKUP(Shoe_Sales[[#This Row],[Product Cleaned]],Price!$A$2:$C$9,2,FALSE)</f>
        <v>128</v>
      </c>
      <c r="M177" s="12">
        <f>VLOOKUP(Shoe_Sales[[#This Row],[Product Cleaned]],Price!$A$2:$C$9,3,0)</f>
        <v>72</v>
      </c>
      <c r="N177" s="12">
        <f>(Shoe_Sales[[#This Row],[Quantity]]*Shoe_Sales[[#This Row],[Selling Price]])</f>
        <v>1664</v>
      </c>
      <c r="O177" s="12">
        <f>(Shoe_Sales[[#This Row],[Quantity]]*Shoe_Sales[[#This Row],[Cost Price]])</f>
        <v>936</v>
      </c>
      <c r="P177" s="12">
        <f>(Shoe_Sales[[#This Row],[Revenue]]-Shoe_Sales[[#This Row],[Cost]])</f>
        <v>728</v>
      </c>
      <c r="Q177" s="15">
        <f>(Shoe_Sales[[#This Row],[Profit]]/Shoe_Sales[[#This Row],[Revenue]])</f>
        <v>0.4375</v>
      </c>
    </row>
    <row r="178" spans="1:17" x14ac:dyDescent="0.25">
      <c r="A178" s="8">
        <v>46241</v>
      </c>
      <c r="B178" s="2" t="s">
        <v>75</v>
      </c>
      <c r="C178" s="2" t="str">
        <f t="shared" si="4"/>
        <v>Brogues</v>
      </c>
      <c r="D178" s="2" t="s">
        <v>18</v>
      </c>
      <c r="E178" s="2" t="str">
        <f t="shared" si="5"/>
        <v>Open</v>
      </c>
      <c r="F178" s="2" t="s">
        <v>29</v>
      </c>
      <c r="G178" s="2" t="s">
        <v>30</v>
      </c>
      <c r="H178" s="2" t="str">
        <f>PROPER(Shoe_Sales[[#This Row],[Brand]])</f>
        <v>Timberland</v>
      </c>
      <c r="I178" s="2" t="s">
        <v>11</v>
      </c>
      <c r="J178" s="3">
        <v>9</v>
      </c>
      <c r="K178" s="2" t="s">
        <v>81</v>
      </c>
      <c r="L178" s="12">
        <f>VLOOKUP(Shoe_Sales[[#This Row],[Product Cleaned]],Price!$A$2:$C$9,2,FALSE)</f>
        <v>112</v>
      </c>
      <c r="M178" s="12">
        <f>VLOOKUP(Shoe_Sales[[#This Row],[Product Cleaned]],Price!$A$2:$C$9,3,0)</f>
        <v>64</v>
      </c>
      <c r="N178" s="12">
        <f>(Shoe_Sales[[#This Row],[Quantity]]*Shoe_Sales[[#This Row],[Selling Price]])</f>
        <v>1008</v>
      </c>
      <c r="O178" s="12">
        <f>(Shoe_Sales[[#This Row],[Quantity]]*Shoe_Sales[[#This Row],[Cost Price]])</f>
        <v>576</v>
      </c>
      <c r="P178" s="12">
        <f>(Shoe_Sales[[#This Row],[Revenue]]-Shoe_Sales[[#This Row],[Cost]])</f>
        <v>432</v>
      </c>
      <c r="Q178" s="15">
        <f>(Shoe_Sales[[#This Row],[Profit]]/Shoe_Sales[[#This Row],[Revenue]])</f>
        <v>0.42857142857142855</v>
      </c>
    </row>
    <row r="179" spans="1:17" x14ac:dyDescent="0.25">
      <c r="A179" s="9">
        <v>46123</v>
      </c>
      <c r="B179" s="4" t="s">
        <v>7</v>
      </c>
      <c r="C179" s="2" t="str">
        <f t="shared" si="4"/>
        <v>Derby</v>
      </c>
      <c r="D179" s="4" t="s">
        <v>28</v>
      </c>
      <c r="E179" s="2" t="str">
        <f t="shared" si="5"/>
        <v>Utility</v>
      </c>
      <c r="F179" s="4" t="s">
        <v>9</v>
      </c>
      <c r="G179" s="4" t="s">
        <v>60</v>
      </c>
      <c r="H179" s="4" t="str">
        <f>PROPER(Shoe_Sales[[#This Row],[Brand]])</f>
        <v>Clarks</v>
      </c>
      <c r="I179" s="4" t="s">
        <v>58</v>
      </c>
      <c r="J179" s="5">
        <v>9</v>
      </c>
      <c r="K179" s="4" t="s">
        <v>80</v>
      </c>
      <c r="L179" s="12">
        <f>VLOOKUP(Shoe_Sales[[#This Row],[Product Cleaned]],Price!$A$2:$C$9,2,FALSE)</f>
        <v>32</v>
      </c>
      <c r="M179" s="12">
        <f>VLOOKUP(Shoe_Sales[[#This Row],[Product Cleaned]],Price!$A$2:$C$9,3,0)</f>
        <v>14</v>
      </c>
      <c r="N179" s="12">
        <f>(Shoe_Sales[[#This Row],[Quantity]]*Shoe_Sales[[#This Row],[Selling Price]])</f>
        <v>288</v>
      </c>
      <c r="O179" s="12">
        <f>(Shoe_Sales[[#This Row],[Quantity]]*Shoe_Sales[[#This Row],[Cost Price]])</f>
        <v>126</v>
      </c>
      <c r="P179" s="12">
        <f>(Shoe_Sales[[#This Row],[Revenue]]-Shoe_Sales[[#This Row],[Cost]])</f>
        <v>162</v>
      </c>
      <c r="Q179" s="15">
        <f>(Shoe_Sales[[#This Row],[Profit]]/Shoe_Sales[[#This Row],[Revenue]])</f>
        <v>0.5625</v>
      </c>
    </row>
    <row r="180" spans="1:17" x14ac:dyDescent="0.25">
      <c r="A180" s="8">
        <v>46026</v>
      </c>
      <c r="B180" s="2" t="s">
        <v>17</v>
      </c>
      <c r="C180" s="2" t="str">
        <f t="shared" si="4"/>
        <v>Slippers</v>
      </c>
      <c r="D180" s="2" t="s">
        <v>23</v>
      </c>
      <c r="E180" s="2" t="str">
        <f t="shared" si="5"/>
        <v>Casual</v>
      </c>
      <c r="F180" s="2" t="s">
        <v>29</v>
      </c>
      <c r="G180" s="2" t="s">
        <v>34</v>
      </c>
      <c r="H180" s="2" t="str">
        <f>PROPER(Shoe_Sales[[#This Row],[Brand]])</f>
        <v>Clarks</v>
      </c>
      <c r="I180" s="2" t="s">
        <v>61</v>
      </c>
      <c r="J180" s="3">
        <v>9</v>
      </c>
      <c r="K180" s="2" t="s">
        <v>80</v>
      </c>
      <c r="L180" s="12">
        <f>VLOOKUP(Shoe_Sales[[#This Row],[Product Cleaned]],Price!$A$2:$C$9,2,FALSE)</f>
        <v>119</v>
      </c>
      <c r="M180" s="12">
        <f>VLOOKUP(Shoe_Sales[[#This Row],[Product Cleaned]],Price!$A$2:$C$9,3,0)</f>
        <v>67</v>
      </c>
      <c r="N180" s="12">
        <f>(Shoe_Sales[[#This Row],[Quantity]]*Shoe_Sales[[#This Row],[Selling Price]])</f>
        <v>1071</v>
      </c>
      <c r="O180" s="12">
        <f>(Shoe_Sales[[#This Row],[Quantity]]*Shoe_Sales[[#This Row],[Cost Price]])</f>
        <v>603</v>
      </c>
      <c r="P180" s="12">
        <f>(Shoe_Sales[[#This Row],[Revenue]]-Shoe_Sales[[#This Row],[Cost]])</f>
        <v>468</v>
      </c>
      <c r="Q180" s="15">
        <f>(Shoe_Sales[[#This Row],[Profit]]/Shoe_Sales[[#This Row],[Revenue]])</f>
        <v>0.43697478991596639</v>
      </c>
    </row>
    <row r="181" spans="1:17" x14ac:dyDescent="0.25">
      <c r="A181" s="9">
        <v>46089</v>
      </c>
      <c r="B181" s="4" t="s">
        <v>12</v>
      </c>
      <c r="C181" s="2" t="str">
        <f t="shared" si="4"/>
        <v>Canvas</v>
      </c>
      <c r="D181" s="4" t="s">
        <v>39</v>
      </c>
      <c r="E181" s="2" t="str">
        <f t="shared" si="5"/>
        <v>Formal</v>
      </c>
      <c r="F181" s="4" t="s">
        <v>24</v>
      </c>
      <c r="G181" s="4" t="s">
        <v>73</v>
      </c>
      <c r="H181" s="4" t="str">
        <f>PROPER(Shoe_Sales[[#This Row],[Brand]])</f>
        <v>Timberland</v>
      </c>
      <c r="I181" s="4" t="s">
        <v>50</v>
      </c>
      <c r="J181" s="5">
        <v>3</v>
      </c>
      <c r="K181" s="4" t="s">
        <v>81</v>
      </c>
      <c r="L181" s="12">
        <f>VLOOKUP(Shoe_Sales[[#This Row],[Product Cleaned]],Price!$A$2:$C$9,2,FALSE)</f>
        <v>128</v>
      </c>
      <c r="M181" s="12">
        <f>VLOOKUP(Shoe_Sales[[#This Row],[Product Cleaned]],Price!$A$2:$C$9,3,0)</f>
        <v>72</v>
      </c>
      <c r="N181" s="12">
        <f>(Shoe_Sales[[#This Row],[Quantity]]*Shoe_Sales[[#This Row],[Selling Price]])</f>
        <v>384</v>
      </c>
      <c r="O181" s="12">
        <f>(Shoe_Sales[[#This Row],[Quantity]]*Shoe_Sales[[#This Row],[Cost Price]])</f>
        <v>216</v>
      </c>
      <c r="P181" s="12">
        <f>(Shoe_Sales[[#This Row],[Revenue]]-Shoe_Sales[[#This Row],[Cost]])</f>
        <v>168</v>
      </c>
      <c r="Q181" s="15">
        <f>(Shoe_Sales[[#This Row],[Profit]]/Shoe_Sales[[#This Row],[Revenue]])</f>
        <v>0.4375</v>
      </c>
    </row>
    <row r="182" spans="1:17" x14ac:dyDescent="0.25">
      <c r="A182" s="8">
        <v>46106</v>
      </c>
      <c r="B182" s="2" t="s">
        <v>36</v>
      </c>
      <c r="C182" s="2" t="str">
        <f t="shared" si="4"/>
        <v>Brogues</v>
      </c>
      <c r="D182" s="2" t="s">
        <v>52</v>
      </c>
      <c r="E182" s="2" t="str">
        <f t="shared" si="5"/>
        <v>Casual</v>
      </c>
      <c r="F182" s="2" t="s">
        <v>14</v>
      </c>
      <c r="G182" s="2" t="s">
        <v>40</v>
      </c>
      <c r="H182" s="2" t="str">
        <f>PROPER(Shoe_Sales[[#This Row],[Brand]])</f>
        <v>Zara</v>
      </c>
      <c r="I182" s="2" t="s">
        <v>21</v>
      </c>
      <c r="J182" s="3">
        <v>2</v>
      </c>
      <c r="K182" s="2" t="s">
        <v>82</v>
      </c>
      <c r="L182" s="12">
        <f>VLOOKUP(Shoe_Sales[[#This Row],[Product Cleaned]],Price!$A$2:$C$9,2,FALSE)</f>
        <v>112</v>
      </c>
      <c r="M182" s="12">
        <f>VLOOKUP(Shoe_Sales[[#This Row],[Product Cleaned]],Price!$A$2:$C$9,3,0)</f>
        <v>64</v>
      </c>
      <c r="N182" s="12">
        <f>(Shoe_Sales[[#This Row],[Quantity]]*Shoe_Sales[[#This Row],[Selling Price]])</f>
        <v>224</v>
      </c>
      <c r="O182" s="12">
        <f>(Shoe_Sales[[#This Row],[Quantity]]*Shoe_Sales[[#This Row],[Cost Price]])</f>
        <v>128</v>
      </c>
      <c r="P182" s="12">
        <f>(Shoe_Sales[[#This Row],[Revenue]]-Shoe_Sales[[#This Row],[Cost]])</f>
        <v>96</v>
      </c>
      <c r="Q182" s="15">
        <f>(Shoe_Sales[[#This Row],[Profit]]/Shoe_Sales[[#This Row],[Revenue]])</f>
        <v>0.42857142857142855</v>
      </c>
    </row>
    <row r="183" spans="1:17" x14ac:dyDescent="0.25">
      <c r="A183" s="9">
        <v>46165</v>
      </c>
      <c r="B183" s="4" t="s">
        <v>27</v>
      </c>
      <c r="C183" s="2" t="str">
        <f t="shared" si="4"/>
        <v>Boots</v>
      </c>
      <c r="D183" s="4" t="s">
        <v>56</v>
      </c>
      <c r="E183" s="2" t="str">
        <f t="shared" si="5"/>
        <v>Utility</v>
      </c>
      <c r="F183" s="4" t="s">
        <v>19</v>
      </c>
      <c r="G183" s="4" t="s">
        <v>66</v>
      </c>
      <c r="H183" s="4" t="str">
        <f>PROPER(Shoe_Sales[[#This Row],[Brand]])</f>
        <v>Steve Madden</v>
      </c>
      <c r="I183" s="4" t="s">
        <v>37</v>
      </c>
      <c r="J183" s="5">
        <v>6</v>
      </c>
      <c r="K183" s="4" t="s">
        <v>79</v>
      </c>
      <c r="L183" s="12">
        <f>VLOOKUP(Shoe_Sales[[#This Row],[Product Cleaned]],Price!$A$2:$C$9,2,FALSE)</f>
        <v>76</v>
      </c>
      <c r="M183" s="12">
        <f>VLOOKUP(Shoe_Sales[[#This Row],[Product Cleaned]],Price!$A$2:$C$9,3,0)</f>
        <v>39</v>
      </c>
      <c r="N183" s="12">
        <f>(Shoe_Sales[[#This Row],[Quantity]]*Shoe_Sales[[#This Row],[Selling Price]])</f>
        <v>456</v>
      </c>
      <c r="O183" s="12">
        <f>(Shoe_Sales[[#This Row],[Quantity]]*Shoe_Sales[[#This Row],[Cost Price]])</f>
        <v>234</v>
      </c>
      <c r="P183" s="12">
        <f>(Shoe_Sales[[#This Row],[Revenue]]-Shoe_Sales[[#This Row],[Cost]])</f>
        <v>222</v>
      </c>
      <c r="Q183" s="15">
        <f>(Shoe_Sales[[#This Row],[Profit]]/Shoe_Sales[[#This Row],[Revenue]])</f>
        <v>0.48684210526315791</v>
      </c>
    </row>
    <row r="184" spans="1:17" x14ac:dyDescent="0.25">
      <c r="A184" s="8">
        <v>46153</v>
      </c>
      <c r="B184" s="2" t="s">
        <v>47</v>
      </c>
      <c r="C184" s="2" t="str">
        <f t="shared" si="4"/>
        <v>Slippers</v>
      </c>
      <c r="D184" s="2" t="s">
        <v>48</v>
      </c>
      <c r="E184" s="2" t="str">
        <f t="shared" si="5"/>
        <v>Open</v>
      </c>
      <c r="F184" s="2" t="s">
        <v>14</v>
      </c>
      <c r="G184" s="2" t="s">
        <v>53</v>
      </c>
      <c r="H184" s="2" t="str">
        <f>PROPER(Shoe_Sales[[#This Row],[Brand]])</f>
        <v>Zara</v>
      </c>
      <c r="I184" s="2" t="s">
        <v>31</v>
      </c>
      <c r="J184" s="3">
        <v>4</v>
      </c>
      <c r="K184" s="2" t="s">
        <v>80</v>
      </c>
      <c r="L184" s="12">
        <f>VLOOKUP(Shoe_Sales[[#This Row],[Product Cleaned]],Price!$A$2:$C$9,2,FALSE)</f>
        <v>119</v>
      </c>
      <c r="M184" s="12">
        <f>VLOOKUP(Shoe_Sales[[#This Row],[Product Cleaned]],Price!$A$2:$C$9,3,0)</f>
        <v>67</v>
      </c>
      <c r="N184" s="12">
        <f>(Shoe_Sales[[#This Row],[Quantity]]*Shoe_Sales[[#This Row],[Selling Price]])</f>
        <v>476</v>
      </c>
      <c r="O184" s="12">
        <f>(Shoe_Sales[[#This Row],[Quantity]]*Shoe_Sales[[#This Row],[Cost Price]])</f>
        <v>268</v>
      </c>
      <c r="P184" s="12">
        <f>(Shoe_Sales[[#This Row],[Revenue]]-Shoe_Sales[[#This Row],[Cost]])</f>
        <v>208</v>
      </c>
      <c r="Q184" s="15">
        <f>(Shoe_Sales[[#This Row],[Profit]]/Shoe_Sales[[#This Row],[Revenue]])</f>
        <v>0.43697478991596639</v>
      </c>
    </row>
    <row r="185" spans="1:17" x14ac:dyDescent="0.25">
      <c r="A185" s="9">
        <v>46211</v>
      </c>
      <c r="B185" s="4" t="s">
        <v>67</v>
      </c>
      <c r="C185" s="2" t="str">
        <f t="shared" si="4"/>
        <v>Slippers</v>
      </c>
      <c r="D185" s="4" t="s">
        <v>33</v>
      </c>
      <c r="E185" s="2" t="str">
        <f t="shared" si="5"/>
        <v>Formal</v>
      </c>
      <c r="F185" s="4" t="s">
        <v>9</v>
      </c>
      <c r="G185" s="4" t="s">
        <v>40</v>
      </c>
      <c r="H185" s="4" t="str">
        <f>PROPER(Shoe_Sales[[#This Row],[Brand]])</f>
        <v>Zara</v>
      </c>
      <c r="I185" s="4" t="s">
        <v>41</v>
      </c>
      <c r="J185" s="5">
        <v>7</v>
      </c>
      <c r="K185" s="4" t="s">
        <v>80</v>
      </c>
      <c r="L185" s="12">
        <f>VLOOKUP(Shoe_Sales[[#This Row],[Product Cleaned]],Price!$A$2:$C$9,2,FALSE)</f>
        <v>119</v>
      </c>
      <c r="M185" s="12">
        <f>VLOOKUP(Shoe_Sales[[#This Row],[Product Cleaned]],Price!$A$2:$C$9,3,0)</f>
        <v>67</v>
      </c>
      <c r="N185" s="12">
        <f>(Shoe_Sales[[#This Row],[Quantity]]*Shoe_Sales[[#This Row],[Selling Price]])</f>
        <v>833</v>
      </c>
      <c r="O185" s="12">
        <f>(Shoe_Sales[[#This Row],[Quantity]]*Shoe_Sales[[#This Row],[Cost Price]])</f>
        <v>469</v>
      </c>
      <c r="P185" s="12">
        <f>(Shoe_Sales[[#This Row],[Revenue]]-Shoe_Sales[[#This Row],[Cost]])</f>
        <v>364</v>
      </c>
      <c r="Q185" s="15">
        <f>(Shoe_Sales[[#This Row],[Profit]]/Shoe_Sales[[#This Row],[Revenue]])</f>
        <v>0.43697478991596639</v>
      </c>
    </row>
    <row r="186" spans="1:17" x14ac:dyDescent="0.25">
      <c r="A186" s="8">
        <v>46084</v>
      </c>
      <c r="B186" s="2" t="s">
        <v>22</v>
      </c>
      <c r="C186" s="2" t="str">
        <f t="shared" si="4"/>
        <v>Loafers</v>
      </c>
      <c r="D186" s="2" t="s">
        <v>23</v>
      </c>
      <c r="E186" s="2" t="str">
        <f t="shared" si="5"/>
        <v>Casual</v>
      </c>
      <c r="F186" s="2" t="s">
        <v>24</v>
      </c>
      <c r="G186" s="2" t="s">
        <v>25</v>
      </c>
      <c r="H186" s="2" t="str">
        <f>PROPER(Shoe_Sales[[#This Row],[Brand]])</f>
        <v>Zara</v>
      </c>
      <c r="I186" s="2" t="s">
        <v>54</v>
      </c>
      <c r="J186" s="3">
        <v>14</v>
      </c>
      <c r="K186" s="2" t="s">
        <v>80</v>
      </c>
      <c r="L186" s="12">
        <f>VLOOKUP(Shoe_Sales[[#This Row],[Product Cleaned]],Price!$A$2:$C$9,2,FALSE)</f>
        <v>54</v>
      </c>
      <c r="M186" s="12">
        <f>VLOOKUP(Shoe_Sales[[#This Row],[Product Cleaned]],Price!$A$2:$C$9,3,0)</f>
        <v>28</v>
      </c>
      <c r="N186" s="12">
        <f>(Shoe_Sales[[#This Row],[Quantity]]*Shoe_Sales[[#This Row],[Selling Price]])</f>
        <v>756</v>
      </c>
      <c r="O186" s="12">
        <f>(Shoe_Sales[[#This Row],[Quantity]]*Shoe_Sales[[#This Row],[Cost Price]])</f>
        <v>392</v>
      </c>
      <c r="P186" s="12">
        <f>(Shoe_Sales[[#This Row],[Revenue]]-Shoe_Sales[[#This Row],[Cost]])</f>
        <v>364</v>
      </c>
      <c r="Q186" s="15">
        <f>(Shoe_Sales[[#This Row],[Profit]]/Shoe_Sales[[#This Row],[Revenue]])</f>
        <v>0.48148148148148145</v>
      </c>
    </row>
    <row r="187" spans="1:17" x14ac:dyDescent="0.25">
      <c r="A187" s="9">
        <v>46094</v>
      </c>
      <c r="B187" s="4" t="s">
        <v>22</v>
      </c>
      <c r="C187" s="2" t="str">
        <f t="shared" si="4"/>
        <v>Loafers</v>
      </c>
      <c r="D187" s="4" t="s">
        <v>56</v>
      </c>
      <c r="E187" s="2" t="str">
        <f t="shared" si="5"/>
        <v>Utility</v>
      </c>
      <c r="F187" s="4" t="s">
        <v>19</v>
      </c>
      <c r="G187" s="4" t="s">
        <v>49</v>
      </c>
      <c r="H187" s="4" t="str">
        <f>PROPER(Shoe_Sales[[#This Row],[Brand]])</f>
        <v>Nike</v>
      </c>
      <c r="I187" s="4" t="s">
        <v>43</v>
      </c>
      <c r="J187" s="5">
        <v>12</v>
      </c>
      <c r="K187" s="4" t="s">
        <v>79</v>
      </c>
      <c r="L187" s="12">
        <f>VLOOKUP(Shoe_Sales[[#This Row],[Product Cleaned]],Price!$A$2:$C$9,2,FALSE)</f>
        <v>54</v>
      </c>
      <c r="M187" s="12">
        <f>VLOOKUP(Shoe_Sales[[#This Row],[Product Cleaned]],Price!$A$2:$C$9,3,0)</f>
        <v>28</v>
      </c>
      <c r="N187" s="12">
        <f>(Shoe_Sales[[#This Row],[Quantity]]*Shoe_Sales[[#This Row],[Selling Price]])</f>
        <v>648</v>
      </c>
      <c r="O187" s="12">
        <f>(Shoe_Sales[[#This Row],[Quantity]]*Shoe_Sales[[#This Row],[Cost Price]])</f>
        <v>336</v>
      </c>
      <c r="P187" s="12">
        <f>(Shoe_Sales[[#This Row],[Revenue]]-Shoe_Sales[[#This Row],[Cost]])</f>
        <v>312</v>
      </c>
      <c r="Q187" s="15">
        <f>(Shoe_Sales[[#This Row],[Profit]]/Shoe_Sales[[#This Row],[Revenue]])</f>
        <v>0.48148148148148145</v>
      </c>
    </row>
    <row r="188" spans="1:17" x14ac:dyDescent="0.25">
      <c r="A188" s="8">
        <v>46239</v>
      </c>
      <c r="B188" s="2" t="s">
        <v>64</v>
      </c>
      <c r="C188" s="2" t="str">
        <f t="shared" si="4"/>
        <v>Derby</v>
      </c>
      <c r="D188" s="2" t="s">
        <v>33</v>
      </c>
      <c r="E188" s="2" t="str">
        <f t="shared" si="5"/>
        <v>Formal</v>
      </c>
      <c r="F188" s="2" t="s">
        <v>19</v>
      </c>
      <c r="G188" s="2" t="s">
        <v>40</v>
      </c>
      <c r="H188" s="2" t="str">
        <f>PROPER(Shoe_Sales[[#This Row],[Brand]])</f>
        <v>Zara</v>
      </c>
      <c r="I188" s="2" t="s">
        <v>26</v>
      </c>
      <c r="J188" s="3">
        <v>11</v>
      </c>
      <c r="K188" s="2" t="s">
        <v>80</v>
      </c>
      <c r="L188" s="12">
        <f>VLOOKUP(Shoe_Sales[[#This Row],[Product Cleaned]],Price!$A$2:$C$9,2,FALSE)</f>
        <v>32</v>
      </c>
      <c r="M188" s="12">
        <f>VLOOKUP(Shoe_Sales[[#This Row],[Product Cleaned]],Price!$A$2:$C$9,3,0)</f>
        <v>14</v>
      </c>
      <c r="N188" s="12">
        <f>(Shoe_Sales[[#This Row],[Quantity]]*Shoe_Sales[[#This Row],[Selling Price]])</f>
        <v>352</v>
      </c>
      <c r="O188" s="12">
        <f>(Shoe_Sales[[#This Row],[Quantity]]*Shoe_Sales[[#This Row],[Cost Price]])</f>
        <v>154</v>
      </c>
      <c r="P188" s="12">
        <f>(Shoe_Sales[[#This Row],[Revenue]]-Shoe_Sales[[#This Row],[Cost]])</f>
        <v>198</v>
      </c>
      <c r="Q188" s="15">
        <f>(Shoe_Sales[[#This Row],[Profit]]/Shoe_Sales[[#This Row],[Revenue]])</f>
        <v>0.5625</v>
      </c>
    </row>
    <row r="189" spans="1:17" x14ac:dyDescent="0.25">
      <c r="A189" s="9">
        <v>46175</v>
      </c>
      <c r="B189" s="4" t="s">
        <v>67</v>
      </c>
      <c r="C189" s="2" t="str">
        <f t="shared" si="4"/>
        <v>Slippers</v>
      </c>
      <c r="D189" s="4" t="s">
        <v>28</v>
      </c>
      <c r="E189" s="2" t="str">
        <f t="shared" si="5"/>
        <v>Utility</v>
      </c>
      <c r="F189" s="4" t="s">
        <v>29</v>
      </c>
      <c r="G189" s="4" t="s">
        <v>53</v>
      </c>
      <c r="H189" s="4" t="str">
        <f>PROPER(Shoe_Sales[[#This Row],[Brand]])</f>
        <v>Zara</v>
      </c>
      <c r="I189" s="4" t="s">
        <v>26</v>
      </c>
      <c r="J189" s="5">
        <v>4</v>
      </c>
      <c r="K189" s="4" t="s">
        <v>79</v>
      </c>
      <c r="L189" s="12">
        <f>VLOOKUP(Shoe_Sales[[#This Row],[Product Cleaned]],Price!$A$2:$C$9,2,FALSE)</f>
        <v>119</v>
      </c>
      <c r="M189" s="12">
        <f>VLOOKUP(Shoe_Sales[[#This Row],[Product Cleaned]],Price!$A$2:$C$9,3,0)</f>
        <v>67</v>
      </c>
      <c r="N189" s="12">
        <f>(Shoe_Sales[[#This Row],[Quantity]]*Shoe_Sales[[#This Row],[Selling Price]])</f>
        <v>476</v>
      </c>
      <c r="O189" s="12">
        <f>(Shoe_Sales[[#This Row],[Quantity]]*Shoe_Sales[[#This Row],[Cost Price]])</f>
        <v>268</v>
      </c>
      <c r="P189" s="12">
        <f>(Shoe_Sales[[#This Row],[Revenue]]-Shoe_Sales[[#This Row],[Cost]])</f>
        <v>208</v>
      </c>
      <c r="Q189" s="15">
        <f>(Shoe_Sales[[#This Row],[Profit]]/Shoe_Sales[[#This Row],[Revenue]])</f>
        <v>0.43697478991596639</v>
      </c>
    </row>
    <row r="190" spans="1:17" x14ac:dyDescent="0.25">
      <c r="A190" s="8">
        <v>46039</v>
      </c>
      <c r="B190" s="2" t="s">
        <v>59</v>
      </c>
      <c r="C190" s="2" t="str">
        <f t="shared" si="4"/>
        <v>Oxford</v>
      </c>
      <c r="D190" s="2" t="s">
        <v>39</v>
      </c>
      <c r="E190" s="2" t="str">
        <f t="shared" si="5"/>
        <v>Formal</v>
      </c>
      <c r="F190" s="2" t="s">
        <v>19</v>
      </c>
      <c r="G190" s="2" t="s">
        <v>69</v>
      </c>
      <c r="H190" s="2" t="str">
        <f>PROPER(Shoe_Sales[[#This Row],[Brand]])</f>
        <v>Nike</v>
      </c>
      <c r="I190" s="2" t="s">
        <v>61</v>
      </c>
      <c r="J190" s="3">
        <v>4</v>
      </c>
      <c r="K190" s="2" t="s">
        <v>79</v>
      </c>
      <c r="L190" s="12">
        <f>VLOOKUP(Shoe_Sales[[#This Row],[Product Cleaned]],Price!$A$2:$C$9,2,FALSE)</f>
        <v>105</v>
      </c>
      <c r="M190" s="12">
        <f>VLOOKUP(Shoe_Sales[[#This Row],[Product Cleaned]],Price!$A$2:$C$9,3,0)</f>
        <v>58</v>
      </c>
      <c r="N190" s="12">
        <f>(Shoe_Sales[[#This Row],[Quantity]]*Shoe_Sales[[#This Row],[Selling Price]])</f>
        <v>420</v>
      </c>
      <c r="O190" s="12">
        <f>(Shoe_Sales[[#This Row],[Quantity]]*Shoe_Sales[[#This Row],[Cost Price]])</f>
        <v>232</v>
      </c>
      <c r="P190" s="12">
        <f>(Shoe_Sales[[#This Row],[Revenue]]-Shoe_Sales[[#This Row],[Cost]])</f>
        <v>188</v>
      </c>
      <c r="Q190" s="15">
        <f>(Shoe_Sales[[#This Row],[Profit]]/Shoe_Sales[[#This Row],[Revenue]])</f>
        <v>0.44761904761904764</v>
      </c>
    </row>
    <row r="191" spans="1:17" x14ac:dyDescent="0.25">
      <c r="A191" s="9">
        <v>46210</v>
      </c>
      <c r="B191" s="4" t="s">
        <v>64</v>
      </c>
      <c r="C191" s="2" t="str">
        <f t="shared" si="4"/>
        <v>Derby</v>
      </c>
      <c r="D191" s="4" t="s">
        <v>8</v>
      </c>
      <c r="E191" s="2" t="str">
        <f t="shared" si="5"/>
        <v>Formal</v>
      </c>
      <c r="F191" s="4" t="s">
        <v>9</v>
      </c>
      <c r="G191" s="4" t="s">
        <v>25</v>
      </c>
      <c r="H191" s="4" t="str">
        <f>PROPER(Shoe_Sales[[#This Row],[Brand]])</f>
        <v>Zara</v>
      </c>
      <c r="I191" s="4" t="s">
        <v>41</v>
      </c>
      <c r="J191" s="5">
        <v>3</v>
      </c>
      <c r="K191" s="4" t="s">
        <v>80</v>
      </c>
      <c r="L191" s="12">
        <f>VLOOKUP(Shoe_Sales[[#This Row],[Product Cleaned]],Price!$A$2:$C$9,2,FALSE)</f>
        <v>32</v>
      </c>
      <c r="M191" s="12">
        <f>VLOOKUP(Shoe_Sales[[#This Row],[Product Cleaned]],Price!$A$2:$C$9,3,0)</f>
        <v>14</v>
      </c>
      <c r="N191" s="12">
        <f>(Shoe_Sales[[#This Row],[Quantity]]*Shoe_Sales[[#This Row],[Selling Price]])</f>
        <v>96</v>
      </c>
      <c r="O191" s="12">
        <f>(Shoe_Sales[[#This Row],[Quantity]]*Shoe_Sales[[#This Row],[Cost Price]])</f>
        <v>42</v>
      </c>
      <c r="P191" s="12">
        <f>(Shoe_Sales[[#This Row],[Revenue]]-Shoe_Sales[[#This Row],[Cost]])</f>
        <v>54</v>
      </c>
      <c r="Q191" s="15">
        <f>(Shoe_Sales[[#This Row],[Profit]]/Shoe_Sales[[#This Row],[Revenue]])</f>
        <v>0.5625</v>
      </c>
    </row>
    <row r="192" spans="1:17" x14ac:dyDescent="0.25">
      <c r="A192" s="8">
        <v>46165</v>
      </c>
      <c r="B192" s="2" t="s">
        <v>75</v>
      </c>
      <c r="C192" s="2" t="str">
        <f t="shared" si="4"/>
        <v>Brogues</v>
      </c>
      <c r="D192" s="2" t="s">
        <v>23</v>
      </c>
      <c r="E192" s="2" t="str">
        <f t="shared" si="5"/>
        <v>Casual</v>
      </c>
      <c r="F192" s="2" t="s">
        <v>14</v>
      </c>
      <c r="G192" s="2" t="s">
        <v>45</v>
      </c>
      <c r="H192" s="2" t="str">
        <f>PROPER(Shoe_Sales[[#This Row],[Brand]])</f>
        <v>Steve Madden</v>
      </c>
      <c r="I192" s="2" t="s">
        <v>50</v>
      </c>
      <c r="J192" s="3">
        <v>15</v>
      </c>
      <c r="K192" s="2" t="s">
        <v>80</v>
      </c>
      <c r="L192" s="12">
        <f>VLOOKUP(Shoe_Sales[[#This Row],[Product Cleaned]],Price!$A$2:$C$9,2,FALSE)</f>
        <v>112</v>
      </c>
      <c r="M192" s="12">
        <f>VLOOKUP(Shoe_Sales[[#This Row],[Product Cleaned]],Price!$A$2:$C$9,3,0)</f>
        <v>64</v>
      </c>
      <c r="N192" s="12">
        <f>(Shoe_Sales[[#This Row],[Quantity]]*Shoe_Sales[[#This Row],[Selling Price]])</f>
        <v>1680</v>
      </c>
      <c r="O192" s="12">
        <f>(Shoe_Sales[[#This Row],[Quantity]]*Shoe_Sales[[#This Row],[Cost Price]])</f>
        <v>960</v>
      </c>
      <c r="P192" s="12">
        <f>(Shoe_Sales[[#This Row],[Revenue]]-Shoe_Sales[[#This Row],[Cost]])</f>
        <v>720</v>
      </c>
      <c r="Q192" s="15">
        <f>(Shoe_Sales[[#This Row],[Profit]]/Shoe_Sales[[#This Row],[Revenue]])</f>
        <v>0.42857142857142855</v>
      </c>
    </row>
    <row r="193" spans="1:17" x14ac:dyDescent="0.25">
      <c r="A193" s="9">
        <v>46072</v>
      </c>
      <c r="B193" s="4" t="s">
        <v>63</v>
      </c>
      <c r="C193" s="2" t="str">
        <f t="shared" si="4"/>
        <v>Monk Straps</v>
      </c>
      <c r="D193" s="4" t="s">
        <v>56</v>
      </c>
      <c r="E193" s="2" t="str">
        <f t="shared" si="5"/>
        <v>Utility</v>
      </c>
      <c r="F193" s="4" t="s">
        <v>24</v>
      </c>
      <c r="G193" s="4" t="s">
        <v>57</v>
      </c>
      <c r="H193" s="4" t="str">
        <f>PROPER(Shoe_Sales[[#This Row],[Brand]])</f>
        <v>Timberland</v>
      </c>
      <c r="I193" s="4" t="s">
        <v>50</v>
      </c>
      <c r="J193" s="5">
        <v>9</v>
      </c>
      <c r="K193" s="4" t="s">
        <v>80</v>
      </c>
      <c r="L193" s="12">
        <f>VLOOKUP(Shoe_Sales[[#This Row],[Product Cleaned]],Price!$A$2:$C$9,2,FALSE)</f>
        <v>89</v>
      </c>
      <c r="M193" s="12">
        <f>VLOOKUP(Shoe_Sales[[#This Row],[Product Cleaned]],Price!$A$2:$C$9,3,0)</f>
        <v>47</v>
      </c>
      <c r="N193" s="12">
        <f>(Shoe_Sales[[#This Row],[Quantity]]*Shoe_Sales[[#This Row],[Selling Price]])</f>
        <v>801</v>
      </c>
      <c r="O193" s="12">
        <f>(Shoe_Sales[[#This Row],[Quantity]]*Shoe_Sales[[#This Row],[Cost Price]])</f>
        <v>423</v>
      </c>
      <c r="P193" s="12">
        <f>(Shoe_Sales[[#This Row],[Revenue]]-Shoe_Sales[[#This Row],[Cost]])</f>
        <v>378</v>
      </c>
      <c r="Q193" s="15">
        <f>(Shoe_Sales[[#This Row],[Profit]]/Shoe_Sales[[#This Row],[Revenue]])</f>
        <v>0.47191011235955055</v>
      </c>
    </row>
    <row r="194" spans="1:17" x14ac:dyDescent="0.25">
      <c r="A194" s="8">
        <v>46118</v>
      </c>
      <c r="B194" s="2" t="s">
        <v>44</v>
      </c>
      <c r="C194" s="2" t="str">
        <f t="shared" ref="C194:C257" si="6">TRIM(PROPER(B194))</f>
        <v>Canvas</v>
      </c>
      <c r="D194" s="2" t="s">
        <v>18</v>
      </c>
      <c r="E194" s="2" t="str">
        <f t="shared" si="5"/>
        <v>Open</v>
      </c>
      <c r="F194" s="2" t="s">
        <v>24</v>
      </c>
      <c r="G194" s="2" t="s">
        <v>40</v>
      </c>
      <c r="H194" s="2" t="str">
        <f>PROPER(Shoe_Sales[[#This Row],[Brand]])</f>
        <v>Zara</v>
      </c>
      <c r="I194" s="2" t="s">
        <v>31</v>
      </c>
      <c r="J194" s="3">
        <v>12</v>
      </c>
      <c r="K194" s="2" t="s">
        <v>79</v>
      </c>
      <c r="L194" s="12">
        <f>VLOOKUP(Shoe_Sales[[#This Row],[Product Cleaned]],Price!$A$2:$C$9,2,FALSE)</f>
        <v>128</v>
      </c>
      <c r="M194" s="12">
        <f>VLOOKUP(Shoe_Sales[[#This Row],[Product Cleaned]],Price!$A$2:$C$9,3,0)</f>
        <v>72</v>
      </c>
      <c r="N194" s="12">
        <f>(Shoe_Sales[[#This Row],[Quantity]]*Shoe_Sales[[#This Row],[Selling Price]])</f>
        <v>1536</v>
      </c>
      <c r="O194" s="12">
        <f>(Shoe_Sales[[#This Row],[Quantity]]*Shoe_Sales[[#This Row],[Cost Price]])</f>
        <v>864</v>
      </c>
      <c r="P194" s="12">
        <f>(Shoe_Sales[[#This Row],[Revenue]]-Shoe_Sales[[#This Row],[Cost]])</f>
        <v>672</v>
      </c>
      <c r="Q194" s="15">
        <f>(Shoe_Sales[[#This Row],[Profit]]/Shoe_Sales[[#This Row],[Revenue]])</f>
        <v>0.4375</v>
      </c>
    </row>
    <row r="195" spans="1:17" x14ac:dyDescent="0.25">
      <c r="A195" s="9">
        <v>46105</v>
      </c>
      <c r="B195" s="4" t="s">
        <v>75</v>
      </c>
      <c r="C195" s="2" t="str">
        <f t="shared" si="6"/>
        <v>Brogues</v>
      </c>
      <c r="D195" s="4" t="s">
        <v>18</v>
      </c>
      <c r="E195" s="2" t="str">
        <f t="shared" ref="E195:E258" si="7">PROPER(D195)</f>
        <v>Open</v>
      </c>
      <c r="F195" s="4" t="s">
        <v>24</v>
      </c>
      <c r="G195" s="4" t="s">
        <v>25</v>
      </c>
      <c r="H195" s="4" t="str">
        <f>PROPER(Shoe_Sales[[#This Row],[Brand]])</f>
        <v>Zara</v>
      </c>
      <c r="I195" s="4" t="s">
        <v>21</v>
      </c>
      <c r="J195" s="5">
        <v>5</v>
      </c>
      <c r="K195" s="4" t="s">
        <v>81</v>
      </c>
      <c r="L195" s="12">
        <f>VLOOKUP(Shoe_Sales[[#This Row],[Product Cleaned]],Price!$A$2:$C$9,2,FALSE)</f>
        <v>112</v>
      </c>
      <c r="M195" s="12">
        <f>VLOOKUP(Shoe_Sales[[#This Row],[Product Cleaned]],Price!$A$2:$C$9,3,0)</f>
        <v>64</v>
      </c>
      <c r="N195" s="12">
        <f>(Shoe_Sales[[#This Row],[Quantity]]*Shoe_Sales[[#This Row],[Selling Price]])</f>
        <v>560</v>
      </c>
      <c r="O195" s="12">
        <f>(Shoe_Sales[[#This Row],[Quantity]]*Shoe_Sales[[#This Row],[Cost Price]])</f>
        <v>320</v>
      </c>
      <c r="P195" s="12">
        <f>(Shoe_Sales[[#This Row],[Revenue]]-Shoe_Sales[[#This Row],[Cost]])</f>
        <v>240</v>
      </c>
      <c r="Q195" s="15">
        <f>(Shoe_Sales[[#This Row],[Profit]]/Shoe_Sales[[#This Row],[Revenue]])</f>
        <v>0.42857142857142855</v>
      </c>
    </row>
    <row r="196" spans="1:17" x14ac:dyDescent="0.25">
      <c r="A196" s="8">
        <v>46117</v>
      </c>
      <c r="B196" s="2" t="s">
        <v>27</v>
      </c>
      <c r="C196" s="2" t="str">
        <f t="shared" si="6"/>
        <v>Boots</v>
      </c>
      <c r="D196" s="2" t="s">
        <v>8</v>
      </c>
      <c r="E196" s="2" t="str">
        <f t="shared" si="7"/>
        <v>Formal</v>
      </c>
      <c r="F196" s="2" t="s">
        <v>14</v>
      </c>
      <c r="G196" s="2" t="s">
        <v>10</v>
      </c>
      <c r="H196" s="2" t="str">
        <f>PROPER(Shoe_Sales[[#This Row],[Brand]])</f>
        <v>Clarks</v>
      </c>
      <c r="I196" s="2" t="s">
        <v>46</v>
      </c>
      <c r="J196" s="3">
        <v>4</v>
      </c>
      <c r="K196" s="2" t="s">
        <v>82</v>
      </c>
      <c r="L196" s="12">
        <f>VLOOKUP(Shoe_Sales[[#This Row],[Product Cleaned]],Price!$A$2:$C$9,2,FALSE)</f>
        <v>76</v>
      </c>
      <c r="M196" s="12">
        <f>VLOOKUP(Shoe_Sales[[#This Row],[Product Cleaned]],Price!$A$2:$C$9,3,0)</f>
        <v>39</v>
      </c>
      <c r="N196" s="12">
        <f>(Shoe_Sales[[#This Row],[Quantity]]*Shoe_Sales[[#This Row],[Selling Price]])</f>
        <v>304</v>
      </c>
      <c r="O196" s="12">
        <f>(Shoe_Sales[[#This Row],[Quantity]]*Shoe_Sales[[#This Row],[Cost Price]])</f>
        <v>156</v>
      </c>
      <c r="P196" s="12">
        <f>(Shoe_Sales[[#This Row],[Revenue]]-Shoe_Sales[[#This Row],[Cost]])</f>
        <v>148</v>
      </c>
      <c r="Q196" s="15">
        <f>(Shoe_Sales[[#This Row],[Profit]]/Shoe_Sales[[#This Row],[Revenue]])</f>
        <v>0.48684210526315791</v>
      </c>
    </row>
    <row r="197" spans="1:17" x14ac:dyDescent="0.25">
      <c r="A197" s="9">
        <v>46223</v>
      </c>
      <c r="B197" s="4" t="s">
        <v>38</v>
      </c>
      <c r="C197" s="2" t="str">
        <f t="shared" si="6"/>
        <v>Monk Straps</v>
      </c>
      <c r="D197" s="4" t="s">
        <v>28</v>
      </c>
      <c r="E197" s="2" t="str">
        <f t="shared" si="7"/>
        <v>Utility</v>
      </c>
      <c r="F197" s="4" t="s">
        <v>24</v>
      </c>
      <c r="G197" s="4" t="s">
        <v>53</v>
      </c>
      <c r="H197" s="4" t="str">
        <f>PROPER(Shoe_Sales[[#This Row],[Brand]])</f>
        <v>Zara</v>
      </c>
      <c r="I197" s="4" t="s">
        <v>35</v>
      </c>
      <c r="J197" s="5">
        <v>10</v>
      </c>
      <c r="K197" s="4" t="s">
        <v>80</v>
      </c>
      <c r="L197" s="12">
        <f>VLOOKUP(Shoe_Sales[[#This Row],[Product Cleaned]],Price!$A$2:$C$9,2,FALSE)</f>
        <v>89</v>
      </c>
      <c r="M197" s="12">
        <f>VLOOKUP(Shoe_Sales[[#This Row],[Product Cleaned]],Price!$A$2:$C$9,3,0)</f>
        <v>47</v>
      </c>
      <c r="N197" s="12">
        <f>(Shoe_Sales[[#This Row],[Quantity]]*Shoe_Sales[[#This Row],[Selling Price]])</f>
        <v>890</v>
      </c>
      <c r="O197" s="12">
        <f>(Shoe_Sales[[#This Row],[Quantity]]*Shoe_Sales[[#This Row],[Cost Price]])</f>
        <v>470</v>
      </c>
      <c r="P197" s="12">
        <f>(Shoe_Sales[[#This Row],[Revenue]]-Shoe_Sales[[#This Row],[Cost]])</f>
        <v>420</v>
      </c>
      <c r="Q197" s="15">
        <f>(Shoe_Sales[[#This Row],[Profit]]/Shoe_Sales[[#This Row],[Revenue]])</f>
        <v>0.47191011235955055</v>
      </c>
    </row>
    <row r="198" spans="1:17" x14ac:dyDescent="0.25">
      <c r="A198" s="8">
        <v>46221</v>
      </c>
      <c r="B198" s="2" t="s">
        <v>70</v>
      </c>
      <c r="C198" s="2" t="str">
        <f t="shared" si="6"/>
        <v>Loafers</v>
      </c>
      <c r="D198" s="2" t="s">
        <v>68</v>
      </c>
      <c r="E198" s="2" t="str">
        <f t="shared" si="7"/>
        <v>Open</v>
      </c>
      <c r="F198" s="2" t="s">
        <v>19</v>
      </c>
      <c r="G198" s="2" t="s">
        <v>57</v>
      </c>
      <c r="H198" s="2" t="str">
        <f>PROPER(Shoe_Sales[[#This Row],[Brand]])</f>
        <v>Timberland</v>
      </c>
      <c r="I198" s="2" t="s">
        <v>21</v>
      </c>
      <c r="J198" s="3">
        <v>4</v>
      </c>
      <c r="K198" s="2" t="s">
        <v>82</v>
      </c>
      <c r="L198" s="12">
        <f>VLOOKUP(Shoe_Sales[[#This Row],[Product Cleaned]],Price!$A$2:$C$9,2,FALSE)</f>
        <v>54</v>
      </c>
      <c r="M198" s="12">
        <f>VLOOKUP(Shoe_Sales[[#This Row],[Product Cleaned]],Price!$A$2:$C$9,3,0)</f>
        <v>28</v>
      </c>
      <c r="N198" s="12">
        <f>(Shoe_Sales[[#This Row],[Quantity]]*Shoe_Sales[[#This Row],[Selling Price]])</f>
        <v>216</v>
      </c>
      <c r="O198" s="12">
        <f>(Shoe_Sales[[#This Row],[Quantity]]*Shoe_Sales[[#This Row],[Cost Price]])</f>
        <v>112</v>
      </c>
      <c r="P198" s="12">
        <f>(Shoe_Sales[[#This Row],[Revenue]]-Shoe_Sales[[#This Row],[Cost]])</f>
        <v>104</v>
      </c>
      <c r="Q198" s="15">
        <f>(Shoe_Sales[[#This Row],[Profit]]/Shoe_Sales[[#This Row],[Revenue]])</f>
        <v>0.48148148148148145</v>
      </c>
    </row>
    <row r="199" spans="1:17" x14ac:dyDescent="0.25">
      <c r="A199" s="9">
        <v>46248</v>
      </c>
      <c r="B199" s="4" t="s">
        <v>36</v>
      </c>
      <c r="C199" s="2" t="str">
        <f t="shared" si="6"/>
        <v>Brogues</v>
      </c>
      <c r="D199" s="4" t="s">
        <v>23</v>
      </c>
      <c r="E199" s="2" t="str">
        <f t="shared" si="7"/>
        <v>Casual</v>
      </c>
      <c r="F199" s="4" t="s">
        <v>29</v>
      </c>
      <c r="G199" s="4" t="s">
        <v>34</v>
      </c>
      <c r="H199" s="4" t="str">
        <f>PROPER(Shoe_Sales[[#This Row],[Brand]])</f>
        <v>Clarks</v>
      </c>
      <c r="I199" s="4" t="s">
        <v>31</v>
      </c>
      <c r="J199" s="5">
        <v>1</v>
      </c>
      <c r="K199" s="4" t="s">
        <v>79</v>
      </c>
      <c r="L199" s="12">
        <f>VLOOKUP(Shoe_Sales[[#This Row],[Product Cleaned]],Price!$A$2:$C$9,2,FALSE)</f>
        <v>112</v>
      </c>
      <c r="M199" s="12">
        <f>VLOOKUP(Shoe_Sales[[#This Row],[Product Cleaned]],Price!$A$2:$C$9,3,0)</f>
        <v>64</v>
      </c>
      <c r="N199" s="12">
        <f>(Shoe_Sales[[#This Row],[Quantity]]*Shoe_Sales[[#This Row],[Selling Price]])</f>
        <v>112</v>
      </c>
      <c r="O199" s="12">
        <f>(Shoe_Sales[[#This Row],[Quantity]]*Shoe_Sales[[#This Row],[Cost Price]])</f>
        <v>64</v>
      </c>
      <c r="P199" s="12">
        <f>(Shoe_Sales[[#This Row],[Revenue]]-Shoe_Sales[[#This Row],[Cost]])</f>
        <v>48</v>
      </c>
      <c r="Q199" s="15">
        <f>(Shoe_Sales[[#This Row],[Profit]]/Shoe_Sales[[#This Row],[Revenue]])</f>
        <v>0.42857142857142855</v>
      </c>
    </row>
    <row r="200" spans="1:17" x14ac:dyDescent="0.25">
      <c r="A200" s="8">
        <v>46054</v>
      </c>
      <c r="B200" s="2" t="s">
        <v>76</v>
      </c>
      <c r="C200" s="2" t="str">
        <f t="shared" si="6"/>
        <v>Monk Straps</v>
      </c>
      <c r="D200" s="2" t="s">
        <v>8</v>
      </c>
      <c r="E200" s="2" t="str">
        <f t="shared" si="7"/>
        <v>Formal</v>
      </c>
      <c r="F200" s="2" t="s">
        <v>24</v>
      </c>
      <c r="G200" s="2" t="s">
        <v>10</v>
      </c>
      <c r="H200" s="2" t="str">
        <f>PROPER(Shoe_Sales[[#This Row],[Brand]])</f>
        <v>Clarks</v>
      </c>
      <c r="I200" s="2" t="s">
        <v>41</v>
      </c>
      <c r="J200" s="3">
        <v>13</v>
      </c>
      <c r="K200" s="2" t="s">
        <v>80</v>
      </c>
      <c r="L200" s="12">
        <f>VLOOKUP(Shoe_Sales[[#This Row],[Product Cleaned]],Price!$A$2:$C$9,2,FALSE)</f>
        <v>89</v>
      </c>
      <c r="M200" s="12">
        <f>VLOOKUP(Shoe_Sales[[#This Row],[Product Cleaned]],Price!$A$2:$C$9,3,0)</f>
        <v>47</v>
      </c>
      <c r="N200" s="12">
        <f>(Shoe_Sales[[#This Row],[Quantity]]*Shoe_Sales[[#This Row],[Selling Price]])</f>
        <v>1157</v>
      </c>
      <c r="O200" s="12">
        <f>(Shoe_Sales[[#This Row],[Quantity]]*Shoe_Sales[[#This Row],[Cost Price]])</f>
        <v>611</v>
      </c>
      <c r="P200" s="12">
        <f>(Shoe_Sales[[#This Row],[Revenue]]-Shoe_Sales[[#This Row],[Cost]])</f>
        <v>546</v>
      </c>
      <c r="Q200" s="15">
        <f>(Shoe_Sales[[#This Row],[Profit]]/Shoe_Sales[[#This Row],[Revenue]])</f>
        <v>0.47191011235955055</v>
      </c>
    </row>
    <row r="201" spans="1:17" x14ac:dyDescent="0.25">
      <c r="A201" s="9">
        <v>46094</v>
      </c>
      <c r="B201" s="4" t="s">
        <v>22</v>
      </c>
      <c r="C201" s="2" t="str">
        <f t="shared" si="6"/>
        <v>Loafers</v>
      </c>
      <c r="D201" s="4" t="s">
        <v>18</v>
      </c>
      <c r="E201" s="2" t="str">
        <f t="shared" si="7"/>
        <v>Open</v>
      </c>
      <c r="F201" s="4" t="s">
        <v>14</v>
      </c>
      <c r="G201" s="4" t="s">
        <v>34</v>
      </c>
      <c r="H201" s="4" t="str">
        <f>PROPER(Shoe_Sales[[#This Row],[Brand]])</f>
        <v>Clarks</v>
      </c>
      <c r="I201" s="4" t="s">
        <v>35</v>
      </c>
      <c r="J201" s="5">
        <v>7</v>
      </c>
      <c r="K201" s="4" t="s">
        <v>80</v>
      </c>
      <c r="L201" s="12">
        <f>VLOOKUP(Shoe_Sales[[#This Row],[Product Cleaned]],Price!$A$2:$C$9,2,FALSE)</f>
        <v>54</v>
      </c>
      <c r="M201" s="12">
        <f>VLOOKUP(Shoe_Sales[[#This Row],[Product Cleaned]],Price!$A$2:$C$9,3,0)</f>
        <v>28</v>
      </c>
      <c r="N201" s="12">
        <f>(Shoe_Sales[[#This Row],[Quantity]]*Shoe_Sales[[#This Row],[Selling Price]])</f>
        <v>378</v>
      </c>
      <c r="O201" s="12">
        <f>(Shoe_Sales[[#This Row],[Quantity]]*Shoe_Sales[[#This Row],[Cost Price]])</f>
        <v>196</v>
      </c>
      <c r="P201" s="12">
        <f>(Shoe_Sales[[#This Row],[Revenue]]-Shoe_Sales[[#This Row],[Cost]])</f>
        <v>182</v>
      </c>
      <c r="Q201" s="15">
        <f>(Shoe_Sales[[#This Row],[Profit]]/Shoe_Sales[[#This Row],[Revenue]])</f>
        <v>0.48148148148148145</v>
      </c>
    </row>
    <row r="202" spans="1:17" x14ac:dyDescent="0.25">
      <c r="A202" s="8">
        <v>46187</v>
      </c>
      <c r="B202" s="2" t="s">
        <v>42</v>
      </c>
      <c r="C202" s="2" t="str">
        <f t="shared" si="6"/>
        <v>Derby</v>
      </c>
      <c r="D202" s="2" t="s">
        <v>8</v>
      </c>
      <c r="E202" s="2" t="str">
        <f t="shared" si="7"/>
        <v>Formal</v>
      </c>
      <c r="F202" s="2" t="s">
        <v>14</v>
      </c>
      <c r="G202" s="2" t="s">
        <v>60</v>
      </c>
      <c r="H202" s="2" t="str">
        <f>PROPER(Shoe_Sales[[#This Row],[Brand]])</f>
        <v>Clarks</v>
      </c>
      <c r="I202" s="2" t="s">
        <v>50</v>
      </c>
      <c r="J202" s="3">
        <v>10</v>
      </c>
      <c r="K202" s="2" t="s">
        <v>81</v>
      </c>
      <c r="L202" s="12">
        <f>VLOOKUP(Shoe_Sales[[#This Row],[Product Cleaned]],Price!$A$2:$C$9,2,FALSE)</f>
        <v>32</v>
      </c>
      <c r="M202" s="12">
        <f>VLOOKUP(Shoe_Sales[[#This Row],[Product Cleaned]],Price!$A$2:$C$9,3,0)</f>
        <v>14</v>
      </c>
      <c r="N202" s="12">
        <f>(Shoe_Sales[[#This Row],[Quantity]]*Shoe_Sales[[#This Row],[Selling Price]])</f>
        <v>320</v>
      </c>
      <c r="O202" s="12">
        <f>(Shoe_Sales[[#This Row],[Quantity]]*Shoe_Sales[[#This Row],[Cost Price]])</f>
        <v>140</v>
      </c>
      <c r="P202" s="12">
        <f>(Shoe_Sales[[#This Row],[Revenue]]-Shoe_Sales[[#This Row],[Cost]])</f>
        <v>180</v>
      </c>
      <c r="Q202" s="15">
        <f>(Shoe_Sales[[#This Row],[Profit]]/Shoe_Sales[[#This Row],[Revenue]])</f>
        <v>0.5625</v>
      </c>
    </row>
    <row r="203" spans="1:17" x14ac:dyDescent="0.25">
      <c r="A203" s="9">
        <v>46047</v>
      </c>
      <c r="B203" s="4" t="s">
        <v>38</v>
      </c>
      <c r="C203" s="2" t="str">
        <f t="shared" si="6"/>
        <v>Monk Straps</v>
      </c>
      <c r="D203" s="4" t="s">
        <v>8</v>
      </c>
      <c r="E203" s="2" t="str">
        <f t="shared" si="7"/>
        <v>Formal</v>
      </c>
      <c r="F203" s="4" t="s">
        <v>14</v>
      </c>
      <c r="G203" s="4" t="s">
        <v>53</v>
      </c>
      <c r="H203" s="4" t="str">
        <f>PROPER(Shoe_Sales[[#This Row],[Brand]])</f>
        <v>Zara</v>
      </c>
      <c r="I203" s="4" t="s">
        <v>61</v>
      </c>
      <c r="J203" s="5">
        <v>5</v>
      </c>
      <c r="K203" s="4" t="s">
        <v>81</v>
      </c>
      <c r="L203" s="12">
        <f>VLOOKUP(Shoe_Sales[[#This Row],[Product Cleaned]],Price!$A$2:$C$9,2,FALSE)</f>
        <v>89</v>
      </c>
      <c r="M203" s="12">
        <f>VLOOKUP(Shoe_Sales[[#This Row],[Product Cleaned]],Price!$A$2:$C$9,3,0)</f>
        <v>47</v>
      </c>
      <c r="N203" s="12">
        <f>(Shoe_Sales[[#This Row],[Quantity]]*Shoe_Sales[[#This Row],[Selling Price]])</f>
        <v>445</v>
      </c>
      <c r="O203" s="12">
        <f>(Shoe_Sales[[#This Row],[Quantity]]*Shoe_Sales[[#This Row],[Cost Price]])</f>
        <v>235</v>
      </c>
      <c r="P203" s="12">
        <f>(Shoe_Sales[[#This Row],[Revenue]]-Shoe_Sales[[#This Row],[Cost]])</f>
        <v>210</v>
      </c>
      <c r="Q203" s="15">
        <f>(Shoe_Sales[[#This Row],[Profit]]/Shoe_Sales[[#This Row],[Revenue]])</f>
        <v>0.47191011235955055</v>
      </c>
    </row>
    <row r="204" spans="1:17" x14ac:dyDescent="0.25">
      <c r="A204" s="8">
        <v>46108</v>
      </c>
      <c r="B204" s="2" t="s">
        <v>71</v>
      </c>
      <c r="C204" s="2" t="str">
        <f t="shared" si="6"/>
        <v>Boots</v>
      </c>
      <c r="D204" s="2" t="s">
        <v>13</v>
      </c>
      <c r="E204" s="2" t="str">
        <f t="shared" si="7"/>
        <v>Casual</v>
      </c>
      <c r="F204" s="2" t="s">
        <v>19</v>
      </c>
      <c r="G204" s="2" t="s">
        <v>34</v>
      </c>
      <c r="H204" s="2" t="str">
        <f>PROPER(Shoe_Sales[[#This Row],[Brand]])</f>
        <v>Clarks</v>
      </c>
      <c r="I204" s="2" t="s">
        <v>50</v>
      </c>
      <c r="J204" s="3">
        <v>2</v>
      </c>
      <c r="K204" s="2" t="s">
        <v>82</v>
      </c>
      <c r="L204" s="12">
        <f>VLOOKUP(Shoe_Sales[[#This Row],[Product Cleaned]],Price!$A$2:$C$9,2,FALSE)</f>
        <v>76</v>
      </c>
      <c r="M204" s="12">
        <f>VLOOKUP(Shoe_Sales[[#This Row],[Product Cleaned]],Price!$A$2:$C$9,3,0)</f>
        <v>39</v>
      </c>
      <c r="N204" s="12">
        <f>(Shoe_Sales[[#This Row],[Quantity]]*Shoe_Sales[[#This Row],[Selling Price]])</f>
        <v>152</v>
      </c>
      <c r="O204" s="12">
        <f>(Shoe_Sales[[#This Row],[Quantity]]*Shoe_Sales[[#This Row],[Cost Price]])</f>
        <v>78</v>
      </c>
      <c r="P204" s="12">
        <f>(Shoe_Sales[[#This Row],[Revenue]]-Shoe_Sales[[#This Row],[Cost]])</f>
        <v>74</v>
      </c>
      <c r="Q204" s="15">
        <f>(Shoe_Sales[[#This Row],[Profit]]/Shoe_Sales[[#This Row],[Revenue]])</f>
        <v>0.48684210526315791</v>
      </c>
    </row>
    <row r="205" spans="1:17" x14ac:dyDescent="0.25">
      <c r="A205" s="9">
        <v>46198</v>
      </c>
      <c r="B205" s="4" t="s">
        <v>7</v>
      </c>
      <c r="C205" s="2" t="str">
        <f t="shared" si="6"/>
        <v>Derby</v>
      </c>
      <c r="D205" s="4" t="s">
        <v>23</v>
      </c>
      <c r="E205" s="2" t="str">
        <f t="shared" si="7"/>
        <v>Casual</v>
      </c>
      <c r="F205" s="4" t="s">
        <v>14</v>
      </c>
      <c r="G205" s="4" t="s">
        <v>60</v>
      </c>
      <c r="H205" s="4" t="str">
        <f>PROPER(Shoe_Sales[[#This Row],[Brand]])</f>
        <v>Clarks</v>
      </c>
      <c r="I205" s="4" t="s">
        <v>26</v>
      </c>
      <c r="J205" s="5">
        <v>8</v>
      </c>
      <c r="K205" s="4" t="s">
        <v>80</v>
      </c>
      <c r="L205" s="12">
        <f>VLOOKUP(Shoe_Sales[[#This Row],[Product Cleaned]],Price!$A$2:$C$9,2,FALSE)</f>
        <v>32</v>
      </c>
      <c r="M205" s="12">
        <f>VLOOKUP(Shoe_Sales[[#This Row],[Product Cleaned]],Price!$A$2:$C$9,3,0)</f>
        <v>14</v>
      </c>
      <c r="N205" s="12">
        <f>(Shoe_Sales[[#This Row],[Quantity]]*Shoe_Sales[[#This Row],[Selling Price]])</f>
        <v>256</v>
      </c>
      <c r="O205" s="12">
        <f>(Shoe_Sales[[#This Row],[Quantity]]*Shoe_Sales[[#This Row],[Cost Price]])</f>
        <v>112</v>
      </c>
      <c r="P205" s="12">
        <f>(Shoe_Sales[[#This Row],[Revenue]]-Shoe_Sales[[#This Row],[Cost]])</f>
        <v>144</v>
      </c>
      <c r="Q205" s="15">
        <f>(Shoe_Sales[[#This Row],[Profit]]/Shoe_Sales[[#This Row],[Revenue]])</f>
        <v>0.5625</v>
      </c>
    </row>
    <row r="206" spans="1:17" x14ac:dyDescent="0.25">
      <c r="A206" s="8">
        <v>46223</v>
      </c>
      <c r="B206" s="2" t="s">
        <v>62</v>
      </c>
      <c r="C206" s="2" t="str">
        <f t="shared" si="6"/>
        <v>Brogues</v>
      </c>
      <c r="D206" s="2" t="s">
        <v>8</v>
      </c>
      <c r="E206" s="2" t="str">
        <f t="shared" si="7"/>
        <v>Formal</v>
      </c>
      <c r="F206" s="2" t="s">
        <v>14</v>
      </c>
      <c r="G206" s="2" t="s">
        <v>53</v>
      </c>
      <c r="H206" s="2" t="str">
        <f>PROPER(Shoe_Sales[[#This Row],[Brand]])</f>
        <v>Zara</v>
      </c>
      <c r="I206" s="2" t="s">
        <v>37</v>
      </c>
      <c r="J206" s="3">
        <v>4</v>
      </c>
      <c r="K206" s="2" t="s">
        <v>80</v>
      </c>
      <c r="L206" s="12">
        <f>VLOOKUP(Shoe_Sales[[#This Row],[Product Cleaned]],Price!$A$2:$C$9,2,FALSE)</f>
        <v>112</v>
      </c>
      <c r="M206" s="12">
        <f>VLOOKUP(Shoe_Sales[[#This Row],[Product Cleaned]],Price!$A$2:$C$9,3,0)</f>
        <v>64</v>
      </c>
      <c r="N206" s="12">
        <f>(Shoe_Sales[[#This Row],[Quantity]]*Shoe_Sales[[#This Row],[Selling Price]])</f>
        <v>448</v>
      </c>
      <c r="O206" s="12">
        <f>(Shoe_Sales[[#This Row],[Quantity]]*Shoe_Sales[[#This Row],[Cost Price]])</f>
        <v>256</v>
      </c>
      <c r="P206" s="12">
        <f>(Shoe_Sales[[#This Row],[Revenue]]-Shoe_Sales[[#This Row],[Cost]])</f>
        <v>192</v>
      </c>
      <c r="Q206" s="15">
        <f>(Shoe_Sales[[#This Row],[Profit]]/Shoe_Sales[[#This Row],[Revenue]])</f>
        <v>0.42857142857142855</v>
      </c>
    </row>
    <row r="207" spans="1:17" x14ac:dyDescent="0.25">
      <c r="A207" s="9">
        <v>46046</v>
      </c>
      <c r="B207" s="4" t="s">
        <v>22</v>
      </c>
      <c r="C207" s="2" t="str">
        <f t="shared" si="6"/>
        <v>Loafers</v>
      </c>
      <c r="D207" s="4" t="s">
        <v>13</v>
      </c>
      <c r="E207" s="2" t="str">
        <f t="shared" si="7"/>
        <v>Casual</v>
      </c>
      <c r="F207" s="4" t="s">
        <v>19</v>
      </c>
      <c r="G207" s="4" t="s">
        <v>66</v>
      </c>
      <c r="H207" s="4" t="str">
        <f>PROPER(Shoe_Sales[[#This Row],[Brand]])</f>
        <v>Steve Madden</v>
      </c>
      <c r="I207" s="4" t="s">
        <v>37</v>
      </c>
      <c r="J207" s="5">
        <v>10</v>
      </c>
      <c r="K207" s="4" t="s">
        <v>80</v>
      </c>
      <c r="L207" s="12">
        <f>VLOOKUP(Shoe_Sales[[#This Row],[Product Cleaned]],Price!$A$2:$C$9,2,FALSE)</f>
        <v>54</v>
      </c>
      <c r="M207" s="12">
        <f>VLOOKUP(Shoe_Sales[[#This Row],[Product Cleaned]],Price!$A$2:$C$9,3,0)</f>
        <v>28</v>
      </c>
      <c r="N207" s="12">
        <f>(Shoe_Sales[[#This Row],[Quantity]]*Shoe_Sales[[#This Row],[Selling Price]])</f>
        <v>540</v>
      </c>
      <c r="O207" s="12">
        <f>(Shoe_Sales[[#This Row],[Quantity]]*Shoe_Sales[[#This Row],[Cost Price]])</f>
        <v>280</v>
      </c>
      <c r="P207" s="12">
        <f>(Shoe_Sales[[#This Row],[Revenue]]-Shoe_Sales[[#This Row],[Cost]])</f>
        <v>260</v>
      </c>
      <c r="Q207" s="15">
        <f>(Shoe_Sales[[#This Row],[Profit]]/Shoe_Sales[[#This Row],[Revenue]])</f>
        <v>0.48148148148148145</v>
      </c>
    </row>
    <row r="208" spans="1:17" x14ac:dyDescent="0.25">
      <c r="A208" s="8">
        <v>46119</v>
      </c>
      <c r="B208" s="2" t="s">
        <v>75</v>
      </c>
      <c r="C208" s="2" t="str">
        <f t="shared" si="6"/>
        <v>Brogues</v>
      </c>
      <c r="D208" s="2" t="s">
        <v>28</v>
      </c>
      <c r="E208" s="2" t="str">
        <f t="shared" si="7"/>
        <v>Utility</v>
      </c>
      <c r="F208" s="2" t="s">
        <v>29</v>
      </c>
      <c r="G208" s="2" t="s">
        <v>34</v>
      </c>
      <c r="H208" s="2" t="str">
        <f>PROPER(Shoe_Sales[[#This Row],[Brand]])</f>
        <v>Clarks</v>
      </c>
      <c r="I208" s="2" t="s">
        <v>61</v>
      </c>
      <c r="J208" s="3">
        <v>12</v>
      </c>
      <c r="K208" s="2" t="s">
        <v>79</v>
      </c>
      <c r="L208" s="12">
        <f>VLOOKUP(Shoe_Sales[[#This Row],[Product Cleaned]],Price!$A$2:$C$9,2,FALSE)</f>
        <v>112</v>
      </c>
      <c r="M208" s="12">
        <f>VLOOKUP(Shoe_Sales[[#This Row],[Product Cleaned]],Price!$A$2:$C$9,3,0)</f>
        <v>64</v>
      </c>
      <c r="N208" s="12">
        <f>(Shoe_Sales[[#This Row],[Quantity]]*Shoe_Sales[[#This Row],[Selling Price]])</f>
        <v>1344</v>
      </c>
      <c r="O208" s="12">
        <f>(Shoe_Sales[[#This Row],[Quantity]]*Shoe_Sales[[#This Row],[Cost Price]])</f>
        <v>768</v>
      </c>
      <c r="P208" s="12">
        <f>(Shoe_Sales[[#This Row],[Revenue]]-Shoe_Sales[[#This Row],[Cost]])</f>
        <v>576</v>
      </c>
      <c r="Q208" s="15">
        <f>(Shoe_Sales[[#This Row],[Profit]]/Shoe_Sales[[#This Row],[Revenue]])</f>
        <v>0.42857142857142855</v>
      </c>
    </row>
    <row r="209" spans="1:17" x14ac:dyDescent="0.25">
      <c r="A209" s="9">
        <v>46117</v>
      </c>
      <c r="B209" s="4" t="s">
        <v>71</v>
      </c>
      <c r="C209" s="2" t="str">
        <f t="shared" si="6"/>
        <v>Boots</v>
      </c>
      <c r="D209" s="4" t="s">
        <v>39</v>
      </c>
      <c r="E209" s="2" t="str">
        <f t="shared" si="7"/>
        <v>Formal</v>
      </c>
      <c r="F209" s="4" t="s">
        <v>29</v>
      </c>
      <c r="G209" s="4" t="s">
        <v>53</v>
      </c>
      <c r="H209" s="4" t="str">
        <f>PROPER(Shoe_Sales[[#This Row],[Brand]])</f>
        <v>Zara</v>
      </c>
      <c r="I209" s="4" t="s">
        <v>16</v>
      </c>
      <c r="J209" s="5">
        <v>4</v>
      </c>
      <c r="K209" s="4" t="s">
        <v>80</v>
      </c>
      <c r="L209" s="12">
        <f>VLOOKUP(Shoe_Sales[[#This Row],[Product Cleaned]],Price!$A$2:$C$9,2,FALSE)</f>
        <v>76</v>
      </c>
      <c r="M209" s="12">
        <f>VLOOKUP(Shoe_Sales[[#This Row],[Product Cleaned]],Price!$A$2:$C$9,3,0)</f>
        <v>39</v>
      </c>
      <c r="N209" s="12">
        <f>(Shoe_Sales[[#This Row],[Quantity]]*Shoe_Sales[[#This Row],[Selling Price]])</f>
        <v>304</v>
      </c>
      <c r="O209" s="12">
        <f>(Shoe_Sales[[#This Row],[Quantity]]*Shoe_Sales[[#This Row],[Cost Price]])</f>
        <v>156</v>
      </c>
      <c r="P209" s="12">
        <f>(Shoe_Sales[[#This Row],[Revenue]]-Shoe_Sales[[#This Row],[Cost]])</f>
        <v>148</v>
      </c>
      <c r="Q209" s="15">
        <f>(Shoe_Sales[[#This Row],[Profit]]/Shoe_Sales[[#This Row],[Revenue]])</f>
        <v>0.48684210526315791</v>
      </c>
    </row>
    <row r="210" spans="1:17" x14ac:dyDescent="0.25">
      <c r="A210" s="8">
        <v>46091</v>
      </c>
      <c r="B210" s="2" t="s">
        <v>71</v>
      </c>
      <c r="C210" s="2" t="str">
        <f t="shared" si="6"/>
        <v>Boots</v>
      </c>
      <c r="D210" s="2" t="s">
        <v>39</v>
      </c>
      <c r="E210" s="2" t="str">
        <f t="shared" si="7"/>
        <v>Formal</v>
      </c>
      <c r="F210" s="2" t="s">
        <v>14</v>
      </c>
      <c r="G210" s="2" t="s">
        <v>40</v>
      </c>
      <c r="H210" s="2" t="str">
        <f>PROPER(Shoe_Sales[[#This Row],[Brand]])</f>
        <v>Zara</v>
      </c>
      <c r="I210" s="2" t="s">
        <v>31</v>
      </c>
      <c r="J210" s="3">
        <v>6</v>
      </c>
      <c r="K210" s="2" t="s">
        <v>81</v>
      </c>
      <c r="L210" s="12">
        <f>VLOOKUP(Shoe_Sales[[#This Row],[Product Cleaned]],Price!$A$2:$C$9,2,FALSE)</f>
        <v>76</v>
      </c>
      <c r="M210" s="12">
        <f>VLOOKUP(Shoe_Sales[[#This Row],[Product Cleaned]],Price!$A$2:$C$9,3,0)</f>
        <v>39</v>
      </c>
      <c r="N210" s="12">
        <f>(Shoe_Sales[[#This Row],[Quantity]]*Shoe_Sales[[#This Row],[Selling Price]])</f>
        <v>456</v>
      </c>
      <c r="O210" s="12">
        <f>(Shoe_Sales[[#This Row],[Quantity]]*Shoe_Sales[[#This Row],[Cost Price]])</f>
        <v>234</v>
      </c>
      <c r="P210" s="12">
        <f>(Shoe_Sales[[#This Row],[Revenue]]-Shoe_Sales[[#This Row],[Cost]])</f>
        <v>222</v>
      </c>
      <c r="Q210" s="15">
        <f>(Shoe_Sales[[#This Row],[Profit]]/Shoe_Sales[[#This Row],[Revenue]])</f>
        <v>0.48684210526315791</v>
      </c>
    </row>
    <row r="211" spans="1:17" x14ac:dyDescent="0.25">
      <c r="A211" s="9">
        <v>46150</v>
      </c>
      <c r="B211" s="4" t="s">
        <v>36</v>
      </c>
      <c r="C211" s="2" t="str">
        <f t="shared" si="6"/>
        <v>Brogues</v>
      </c>
      <c r="D211" s="4" t="s">
        <v>8</v>
      </c>
      <c r="E211" s="2" t="str">
        <f t="shared" si="7"/>
        <v>Formal</v>
      </c>
      <c r="F211" s="4" t="s">
        <v>19</v>
      </c>
      <c r="G211" s="4" t="s">
        <v>20</v>
      </c>
      <c r="H211" s="4" t="str">
        <f>PROPER(Shoe_Sales[[#This Row],[Brand]])</f>
        <v>Nike</v>
      </c>
      <c r="I211" s="4" t="s">
        <v>54</v>
      </c>
      <c r="J211" s="5">
        <v>4</v>
      </c>
      <c r="K211" s="4" t="s">
        <v>80</v>
      </c>
      <c r="L211" s="12">
        <f>VLOOKUP(Shoe_Sales[[#This Row],[Product Cleaned]],Price!$A$2:$C$9,2,FALSE)</f>
        <v>112</v>
      </c>
      <c r="M211" s="12">
        <f>VLOOKUP(Shoe_Sales[[#This Row],[Product Cleaned]],Price!$A$2:$C$9,3,0)</f>
        <v>64</v>
      </c>
      <c r="N211" s="12">
        <f>(Shoe_Sales[[#This Row],[Quantity]]*Shoe_Sales[[#This Row],[Selling Price]])</f>
        <v>448</v>
      </c>
      <c r="O211" s="12">
        <f>(Shoe_Sales[[#This Row],[Quantity]]*Shoe_Sales[[#This Row],[Cost Price]])</f>
        <v>256</v>
      </c>
      <c r="P211" s="12">
        <f>(Shoe_Sales[[#This Row],[Revenue]]-Shoe_Sales[[#This Row],[Cost]])</f>
        <v>192</v>
      </c>
      <c r="Q211" s="15">
        <f>(Shoe_Sales[[#This Row],[Profit]]/Shoe_Sales[[#This Row],[Revenue]])</f>
        <v>0.42857142857142855</v>
      </c>
    </row>
    <row r="212" spans="1:17" x14ac:dyDescent="0.25">
      <c r="A212" s="8">
        <v>46181</v>
      </c>
      <c r="B212" s="2" t="s">
        <v>42</v>
      </c>
      <c r="C212" s="2" t="str">
        <f t="shared" si="6"/>
        <v>Derby</v>
      </c>
      <c r="D212" s="2" t="s">
        <v>33</v>
      </c>
      <c r="E212" s="2" t="str">
        <f t="shared" si="7"/>
        <v>Formal</v>
      </c>
      <c r="F212" s="2" t="s">
        <v>29</v>
      </c>
      <c r="G212" s="2" t="s">
        <v>73</v>
      </c>
      <c r="H212" s="2" t="str">
        <f>PROPER(Shoe_Sales[[#This Row],[Brand]])</f>
        <v>Timberland</v>
      </c>
      <c r="I212" s="2" t="s">
        <v>16</v>
      </c>
      <c r="J212" s="3">
        <v>5</v>
      </c>
      <c r="K212" s="2" t="s">
        <v>80</v>
      </c>
      <c r="L212" s="12">
        <f>VLOOKUP(Shoe_Sales[[#This Row],[Product Cleaned]],Price!$A$2:$C$9,2,FALSE)</f>
        <v>32</v>
      </c>
      <c r="M212" s="12">
        <f>VLOOKUP(Shoe_Sales[[#This Row],[Product Cleaned]],Price!$A$2:$C$9,3,0)</f>
        <v>14</v>
      </c>
      <c r="N212" s="12">
        <f>(Shoe_Sales[[#This Row],[Quantity]]*Shoe_Sales[[#This Row],[Selling Price]])</f>
        <v>160</v>
      </c>
      <c r="O212" s="12">
        <f>(Shoe_Sales[[#This Row],[Quantity]]*Shoe_Sales[[#This Row],[Cost Price]])</f>
        <v>70</v>
      </c>
      <c r="P212" s="12">
        <f>(Shoe_Sales[[#This Row],[Revenue]]-Shoe_Sales[[#This Row],[Cost]])</f>
        <v>90</v>
      </c>
      <c r="Q212" s="15">
        <f>(Shoe_Sales[[#This Row],[Profit]]/Shoe_Sales[[#This Row],[Revenue]])</f>
        <v>0.5625</v>
      </c>
    </row>
    <row r="213" spans="1:17" x14ac:dyDescent="0.25">
      <c r="A213" s="9">
        <v>46097</v>
      </c>
      <c r="B213" s="4" t="s">
        <v>22</v>
      </c>
      <c r="C213" s="2" t="str">
        <f t="shared" si="6"/>
        <v>Loafers</v>
      </c>
      <c r="D213" s="4" t="s">
        <v>23</v>
      </c>
      <c r="E213" s="2" t="str">
        <f t="shared" si="7"/>
        <v>Casual</v>
      </c>
      <c r="F213" s="4" t="s">
        <v>29</v>
      </c>
      <c r="G213" s="4" t="s">
        <v>10</v>
      </c>
      <c r="H213" s="4" t="str">
        <f>PROPER(Shoe_Sales[[#This Row],[Brand]])</f>
        <v>Clarks</v>
      </c>
      <c r="I213" s="4" t="s">
        <v>31</v>
      </c>
      <c r="J213" s="5">
        <v>5</v>
      </c>
      <c r="K213" s="4" t="s">
        <v>80</v>
      </c>
      <c r="L213" s="12">
        <f>VLOOKUP(Shoe_Sales[[#This Row],[Product Cleaned]],Price!$A$2:$C$9,2,FALSE)</f>
        <v>54</v>
      </c>
      <c r="M213" s="12">
        <f>VLOOKUP(Shoe_Sales[[#This Row],[Product Cleaned]],Price!$A$2:$C$9,3,0)</f>
        <v>28</v>
      </c>
      <c r="N213" s="12">
        <f>(Shoe_Sales[[#This Row],[Quantity]]*Shoe_Sales[[#This Row],[Selling Price]])</f>
        <v>270</v>
      </c>
      <c r="O213" s="12">
        <f>(Shoe_Sales[[#This Row],[Quantity]]*Shoe_Sales[[#This Row],[Cost Price]])</f>
        <v>140</v>
      </c>
      <c r="P213" s="12">
        <f>(Shoe_Sales[[#This Row],[Revenue]]-Shoe_Sales[[#This Row],[Cost]])</f>
        <v>130</v>
      </c>
      <c r="Q213" s="15">
        <f>(Shoe_Sales[[#This Row],[Profit]]/Shoe_Sales[[#This Row],[Revenue]])</f>
        <v>0.48148148148148145</v>
      </c>
    </row>
    <row r="214" spans="1:17" x14ac:dyDescent="0.25">
      <c r="A214" s="8">
        <v>46193</v>
      </c>
      <c r="B214" s="2" t="s">
        <v>44</v>
      </c>
      <c r="C214" s="2" t="str">
        <f t="shared" si="6"/>
        <v>Canvas</v>
      </c>
      <c r="D214" s="2" t="s">
        <v>68</v>
      </c>
      <c r="E214" s="2" t="str">
        <f t="shared" si="7"/>
        <v>Open</v>
      </c>
      <c r="F214" s="2" t="s">
        <v>9</v>
      </c>
      <c r="G214" s="2" t="s">
        <v>73</v>
      </c>
      <c r="H214" s="2" t="str">
        <f>PROPER(Shoe_Sales[[#This Row],[Brand]])</f>
        <v>Timberland</v>
      </c>
      <c r="I214" s="2" t="s">
        <v>35</v>
      </c>
      <c r="J214" s="3">
        <v>11</v>
      </c>
      <c r="K214" s="2" t="s">
        <v>79</v>
      </c>
      <c r="L214" s="12">
        <f>VLOOKUP(Shoe_Sales[[#This Row],[Product Cleaned]],Price!$A$2:$C$9,2,FALSE)</f>
        <v>128</v>
      </c>
      <c r="M214" s="12">
        <f>VLOOKUP(Shoe_Sales[[#This Row],[Product Cleaned]],Price!$A$2:$C$9,3,0)</f>
        <v>72</v>
      </c>
      <c r="N214" s="12">
        <f>(Shoe_Sales[[#This Row],[Quantity]]*Shoe_Sales[[#This Row],[Selling Price]])</f>
        <v>1408</v>
      </c>
      <c r="O214" s="12">
        <f>(Shoe_Sales[[#This Row],[Quantity]]*Shoe_Sales[[#This Row],[Cost Price]])</f>
        <v>792</v>
      </c>
      <c r="P214" s="12">
        <f>(Shoe_Sales[[#This Row],[Revenue]]-Shoe_Sales[[#This Row],[Cost]])</f>
        <v>616</v>
      </c>
      <c r="Q214" s="15">
        <f>(Shoe_Sales[[#This Row],[Profit]]/Shoe_Sales[[#This Row],[Revenue]])</f>
        <v>0.4375</v>
      </c>
    </row>
    <row r="215" spans="1:17" x14ac:dyDescent="0.25">
      <c r="A215" s="9">
        <v>46204</v>
      </c>
      <c r="B215" s="4" t="s">
        <v>44</v>
      </c>
      <c r="C215" s="2" t="str">
        <f t="shared" si="6"/>
        <v>Canvas</v>
      </c>
      <c r="D215" s="4" t="s">
        <v>48</v>
      </c>
      <c r="E215" s="2" t="str">
        <f t="shared" si="7"/>
        <v>Open</v>
      </c>
      <c r="F215" s="4" t="s">
        <v>9</v>
      </c>
      <c r="G215" s="4" t="s">
        <v>45</v>
      </c>
      <c r="H215" s="4" t="str">
        <f>PROPER(Shoe_Sales[[#This Row],[Brand]])</f>
        <v>Steve Madden</v>
      </c>
      <c r="I215" s="4" t="s">
        <v>16</v>
      </c>
      <c r="J215" s="5">
        <v>3</v>
      </c>
      <c r="K215" s="4" t="s">
        <v>79</v>
      </c>
      <c r="L215" s="12">
        <f>VLOOKUP(Shoe_Sales[[#This Row],[Product Cleaned]],Price!$A$2:$C$9,2,FALSE)</f>
        <v>128</v>
      </c>
      <c r="M215" s="12">
        <f>VLOOKUP(Shoe_Sales[[#This Row],[Product Cleaned]],Price!$A$2:$C$9,3,0)</f>
        <v>72</v>
      </c>
      <c r="N215" s="12">
        <f>(Shoe_Sales[[#This Row],[Quantity]]*Shoe_Sales[[#This Row],[Selling Price]])</f>
        <v>384</v>
      </c>
      <c r="O215" s="12">
        <f>(Shoe_Sales[[#This Row],[Quantity]]*Shoe_Sales[[#This Row],[Cost Price]])</f>
        <v>216</v>
      </c>
      <c r="P215" s="12">
        <f>(Shoe_Sales[[#This Row],[Revenue]]-Shoe_Sales[[#This Row],[Cost]])</f>
        <v>168</v>
      </c>
      <c r="Q215" s="15">
        <f>(Shoe_Sales[[#This Row],[Profit]]/Shoe_Sales[[#This Row],[Revenue]])</f>
        <v>0.4375</v>
      </c>
    </row>
    <row r="216" spans="1:17" x14ac:dyDescent="0.25">
      <c r="A216" s="8">
        <v>46061</v>
      </c>
      <c r="B216" s="2" t="s">
        <v>63</v>
      </c>
      <c r="C216" s="2" t="str">
        <f t="shared" si="6"/>
        <v>Monk Straps</v>
      </c>
      <c r="D216" s="2" t="s">
        <v>8</v>
      </c>
      <c r="E216" s="2" t="str">
        <f t="shared" si="7"/>
        <v>Formal</v>
      </c>
      <c r="F216" s="2" t="s">
        <v>29</v>
      </c>
      <c r="G216" s="2" t="s">
        <v>34</v>
      </c>
      <c r="H216" s="2" t="str">
        <f>PROPER(Shoe_Sales[[#This Row],[Brand]])</f>
        <v>Clarks</v>
      </c>
      <c r="I216" s="2" t="s">
        <v>26</v>
      </c>
      <c r="J216" s="3">
        <v>4</v>
      </c>
      <c r="K216" s="2" t="s">
        <v>80</v>
      </c>
      <c r="L216" s="12">
        <f>VLOOKUP(Shoe_Sales[[#This Row],[Product Cleaned]],Price!$A$2:$C$9,2,FALSE)</f>
        <v>89</v>
      </c>
      <c r="M216" s="12">
        <f>VLOOKUP(Shoe_Sales[[#This Row],[Product Cleaned]],Price!$A$2:$C$9,3,0)</f>
        <v>47</v>
      </c>
      <c r="N216" s="12">
        <f>(Shoe_Sales[[#This Row],[Quantity]]*Shoe_Sales[[#This Row],[Selling Price]])</f>
        <v>356</v>
      </c>
      <c r="O216" s="12">
        <f>(Shoe_Sales[[#This Row],[Quantity]]*Shoe_Sales[[#This Row],[Cost Price]])</f>
        <v>188</v>
      </c>
      <c r="P216" s="12">
        <f>(Shoe_Sales[[#This Row],[Revenue]]-Shoe_Sales[[#This Row],[Cost]])</f>
        <v>168</v>
      </c>
      <c r="Q216" s="15">
        <f>(Shoe_Sales[[#This Row],[Profit]]/Shoe_Sales[[#This Row],[Revenue]])</f>
        <v>0.47191011235955055</v>
      </c>
    </row>
    <row r="217" spans="1:17" x14ac:dyDescent="0.25">
      <c r="A217" s="9">
        <v>46187</v>
      </c>
      <c r="B217" s="4" t="s">
        <v>32</v>
      </c>
      <c r="C217" s="2" t="str">
        <f t="shared" si="6"/>
        <v>Oxford</v>
      </c>
      <c r="D217" s="4" t="s">
        <v>52</v>
      </c>
      <c r="E217" s="2" t="str">
        <f t="shared" si="7"/>
        <v>Casual</v>
      </c>
      <c r="F217" s="4" t="s">
        <v>24</v>
      </c>
      <c r="G217" s="4" t="s">
        <v>20</v>
      </c>
      <c r="H217" s="4" t="str">
        <f>PROPER(Shoe_Sales[[#This Row],[Brand]])</f>
        <v>Nike</v>
      </c>
      <c r="I217" s="4" t="s">
        <v>58</v>
      </c>
      <c r="J217" s="5">
        <v>8</v>
      </c>
      <c r="K217" s="4" t="s">
        <v>81</v>
      </c>
      <c r="L217" s="12">
        <f>VLOOKUP(Shoe_Sales[[#This Row],[Product Cleaned]],Price!$A$2:$C$9,2,FALSE)</f>
        <v>105</v>
      </c>
      <c r="M217" s="12">
        <f>VLOOKUP(Shoe_Sales[[#This Row],[Product Cleaned]],Price!$A$2:$C$9,3,0)</f>
        <v>58</v>
      </c>
      <c r="N217" s="12">
        <f>(Shoe_Sales[[#This Row],[Quantity]]*Shoe_Sales[[#This Row],[Selling Price]])</f>
        <v>840</v>
      </c>
      <c r="O217" s="12">
        <f>(Shoe_Sales[[#This Row],[Quantity]]*Shoe_Sales[[#This Row],[Cost Price]])</f>
        <v>464</v>
      </c>
      <c r="P217" s="12">
        <f>(Shoe_Sales[[#This Row],[Revenue]]-Shoe_Sales[[#This Row],[Cost]])</f>
        <v>376</v>
      </c>
      <c r="Q217" s="15">
        <f>(Shoe_Sales[[#This Row],[Profit]]/Shoe_Sales[[#This Row],[Revenue]])</f>
        <v>0.44761904761904764</v>
      </c>
    </row>
    <row r="218" spans="1:17" x14ac:dyDescent="0.25">
      <c r="A218" s="8">
        <v>46148</v>
      </c>
      <c r="B218" s="2" t="s">
        <v>65</v>
      </c>
      <c r="C218" s="2" t="str">
        <f t="shared" si="6"/>
        <v>Canvas</v>
      </c>
      <c r="D218" s="2" t="s">
        <v>18</v>
      </c>
      <c r="E218" s="2" t="str">
        <f t="shared" si="7"/>
        <v>Open</v>
      </c>
      <c r="F218" s="2" t="s">
        <v>19</v>
      </c>
      <c r="G218" s="2" t="s">
        <v>53</v>
      </c>
      <c r="H218" s="2" t="str">
        <f>PROPER(Shoe_Sales[[#This Row],[Brand]])</f>
        <v>Zara</v>
      </c>
      <c r="I218" s="2" t="s">
        <v>16</v>
      </c>
      <c r="J218" s="3">
        <v>8</v>
      </c>
      <c r="K218" s="2" t="s">
        <v>81</v>
      </c>
      <c r="L218" s="12">
        <f>VLOOKUP(Shoe_Sales[[#This Row],[Product Cleaned]],Price!$A$2:$C$9,2,FALSE)</f>
        <v>128</v>
      </c>
      <c r="M218" s="12">
        <f>VLOOKUP(Shoe_Sales[[#This Row],[Product Cleaned]],Price!$A$2:$C$9,3,0)</f>
        <v>72</v>
      </c>
      <c r="N218" s="12">
        <f>(Shoe_Sales[[#This Row],[Quantity]]*Shoe_Sales[[#This Row],[Selling Price]])</f>
        <v>1024</v>
      </c>
      <c r="O218" s="12">
        <f>(Shoe_Sales[[#This Row],[Quantity]]*Shoe_Sales[[#This Row],[Cost Price]])</f>
        <v>576</v>
      </c>
      <c r="P218" s="12">
        <f>(Shoe_Sales[[#This Row],[Revenue]]-Shoe_Sales[[#This Row],[Cost]])</f>
        <v>448</v>
      </c>
      <c r="Q218" s="15">
        <f>(Shoe_Sales[[#This Row],[Profit]]/Shoe_Sales[[#This Row],[Revenue]])</f>
        <v>0.4375</v>
      </c>
    </row>
    <row r="219" spans="1:17" x14ac:dyDescent="0.25">
      <c r="A219" s="9">
        <v>46080</v>
      </c>
      <c r="B219" s="4" t="s">
        <v>55</v>
      </c>
      <c r="C219" s="2" t="str">
        <f t="shared" si="6"/>
        <v>Boots</v>
      </c>
      <c r="D219" s="4" t="s">
        <v>33</v>
      </c>
      <c r="E219" s="2" t="str">
        <f t="shared" si="7"/>
        <v>Formal</v>
      </c>
      <c r="F219" s="4" t="s">
        <v>24</v>
      </c>
      <c r="G219" s="4" t="s">
        <v>25</v>
      </c>
      <c r="H219" s="4" t="str">
        <f>PROPER(Shoe_Sales[[#This Row],[Brand]])</f>
        <v>Zara</v>
      </c>
      <c r="I219" s="4" t="s">
        <v>11</v>
      </c>
      <c r="J219" s="5">
        <v>8</v>
      </c>
      <c r="K219" s="4" t="s">
        <v>81</v>
      </c>
      <c r="L219" s="12">
        <f>VLOOKUP(Shoe_Sales[[#This Row],[Product Cleaned]],Price!$A$2:$C$9,2,FALSE)</f>
        <v>76</v>
      </c>
      <c r="M219" s="12">
        <f>VLOOKUP(Shoe_Sales[[#This Row],[Product Cleaned]],Price!$A$2:$C$9,3,0)</f>
        <v>39</v>
      </c>
      <c r="N219" s="12">
        <f>(Shoe_Sales[[#This Row],[Quantity]]*Shoe_Sales[[#This Row],[Selling Price]])</f>
        <v>608</v>
      </c>
      <c r="O219" s="12">
        <f>(Shoe_Sales[[#This Row],[Quantity]]*Shoe_Sales[[#This Row],[Cost Price]])</f>
        <v>312</v>
      </c>
      <c r="P219" s="12">
        <f>(Shoe_Sales[[#This Row],[Revenue]]-Shoe_Sales[[#This Row],[Cost]])</f>
        <v>296</v>
      </c>
      <c r="Q219" s="15">
        <f>(Shoe_Sales[[#This Row],[Profit]]/Shoe_Sales[[#This Row],[Revenue]])</f>
        <v>0.48684210526315791</v>
      </c>
    </row>
    <row r="220" spans="1:17" x14ac:dyDescent="0.25">
      <c r="A220" s="8">
        <v>46151</v>
      </c>
      <c r="B220" s="2" t="s">
        <v>7</v>
      </c>
      <c r="C220" s="2" t="str">
        <f t="shared" si="6"/>
        <v>Derby</v>
      </c>
      <c r="D220" s="2" t="s">
        <v>56</v>
      </c>
      <c r="E220" s="2" t="str">
        <f t="shared" si="7"/>
        <v>Utility</v>
      </c>
      <c r="F220" s="2" t="s">
        <v>19</v>
      </c>
      <c r="G220" s="2" t="s">
        <v>40</v>
      </c>
      <c r="H220" s="2" t="str">
        <f>PROPER(Shoe_Sales[[#This Row],[Brand]])</f>
        <v>Zara</v>
      </c>
      <c r="I220" s="2" t="s">
        <v>16</v>
      </c>
      <c r="J220" s="3">
        <v>6</v>
      </c>
      <c r="K220" s="2" t="s">
        <v>80</v>
      </c>
      <c r="L220" s="12">
        <f>VLOOKUP(Shoe_Sales[[#This Row],[Product Cleaned]],Price!$A$2:$C$9,2,FALSE)</f>
        <v>32</v>
      </c>
      <c r="M220" s="12">
        <f>VLOOKUP(Shoe_Sales[[#This Row],[Product Cleaned]],Price!$A$2:$C$9,3,0)</f>
        <v>14</v>
      </c>
      <c r="N220" s="12">
        <f>(Shoe_Sales[[#This Row],[Quantity]]*Shoe_Sales[[#This Row],[Selling Price]])</f>
        <v>192</v>
      </c>
      <c r="O220" s="12">
        <f>(Shoe_Sales[[#This Row],[Quantity]]*Shoe_Sales[[#This Row],[Cost Price]])</f>
        <v>84</v>
      </c>
      <c r="P220" s="12">
        <f>(Shoe_Sales[[#This Row],[Revenue]]-Shoe_Sales[[#This Row],[Cost]])</f>
        <v>108</v>
      </c>
      <c r="Q220" s="15">
        <f>(Shoe_Sales[[#This Row],[Profit]]/Shoe_Sales[[#This Row],[Revenue]])</f>
        <v>0.5625</v>
      </c>
    </row>
    <row r="221" spans="1:17" x14ac:dyDescent="0.25">
      <c r="A221" s="9">
        <v>46083</v>
      </c>
      <c r="B221" s="4" t="s">
        <v>55</v>
      </c>
      <c r="C221" s="2" t="str">
        <f t="shared" si="6"/>
        <v>Boots</v>
      </c>
      <c r="D221" s="4" t="s">
        <v>52</v>
      </c>
      <c r="E221" s="2" t="str">
        <f t="shared" si="7"/>
        <v>Casual</v>
      </c>
      <c r="F221" s="4" t="s">
        <v>14</v>
      </c>
      <c r="G221" s="4" t="s">
        <v>57</v>
      </c>
      <c r="H221" s="4" t="str">
        <f>PROPER(Shoe_Sales[[#This Row],[Brand]])</f>
        <v>Timberland</v>
      </c>
      <c r="I221" s="4" t="s">
        <v>54</v>
      </c>
      <c r="J221" s="5">
        <v>4</v>
      </c>
      <c r="K221" s="4" t="s">
        <v>82</v>
      </c>
      <c r="L221" s="12">
        <f>VLOOKUP(Shoe_Sales[[#This Row],[Product Cleaned]],Price!$A$2:$C$9,2,FALSE)</f>
        <v>76</v>
      </c>
      <c r="M221" s="12">
        <f>VLOOKUP(Shoe_Sales[[#This Row],[Product Cleaned]],Price!$A$2:$C$9,3,0)</f>
        <v>39</v>
      </c>
      <c r="N221" s="12">
        <f>(Shoe_Sales[[#This Row],[Quantity]]*Shoe_Sales[[#This Row],[Selling Price]])</f>
        <v>304</v>
      </c>
      <c r="O221" s="12">
        <f>(Shoe_Sales[[#This Row],[Quantity]]*Shoe_Sales[[#This Row],[Cost Price]])</f>
        <v>156</v>
      </c>
      <c r="P221" s="12">
        <f>(Shoe_Sales[[#This Row],[Revenue]]-Shoe_Sales[[#This Row],[Cost]])</f>
        <v>148</v>
      </c>
      <c r="Q221" s="15">
        <f>(Shoe_Sales[[#This Row],[Profit]]/Shoe_Sales[[#This Row],[Revenue]])</f>
        <v>0.48684210526315791</v>
      </c>
    </row>
    <row r="222" spans="1:17" x14ac:dyDescent="0.25">
      <c r="A222" s="8">
        <v>46245</v>
      </c>
      <c r="B222" s="2" t="s">
        <v>76</v>
      </c>
      <c r="C222" s="2" t="str">
        <f t="shared" si="6"/>
        <v>Monk Straps</v>
      </c>
      <c r="D222" s="2" t="s">
        <v>39</v>
      </c>
      <c r="E222" s="2" t="str">
        <f t="shared" si="7"/>
        <v>Formal</v>
      </c>
      <c r="F222" s="2" t="s">
        <v>24</v>
      </c>
      <c r="G222" s="2" t="s">
        <v>53</v>
      </c>
      <c r="H222" s="2" t="str">
        <f>PROPER(Shoe_Sales[[#This Row],[Brand]])</f>
        <v>Zara</v>
      </c>
      <c r="I222" s="2" t="s">
        <v>50</v>
      </c>
      <c r="J222" s="3">
        <v>14</v>
      </c>
      <c r="K222" s="2" t="s">
        <v>82</v>
      </c>
      <c r="L222" s="12">
        <f>VLOOKUP(Shoe_Sales[[#This Row],[Product Cleaned]],Price!$A$2:$C$9,2,FALSE)</f>
        <v>89</v>
      </c>
      <c r="M222" s="12">
        <f>VLOOKUP(Shoe_Sales[[#This Row],[Product Cleaned]],Price!$A$2:$C$9,3,0)</f>
        <v>47</v>
      </c>
      <c r="N222" s="12">
        <f>(Shoe_Sales[[#This Row],[Quantity]]*Shoe_Sales[[#This Row],[Selling Price]])</f>
        <v>1246</v>
      </c>
      <c r="O222" s="12">
        <f>(Shoe_Sales[[#This Row],[Quantity]]*Shoe_Sales[[#This Row],[Cost Price]])</f>
        <v>658</v>
      </c>
      <c r="P222" s="12">
        <f>(Shoe_Sales[[#This Row],[Revenue]]-Shoe_Sales[[#This Row],[Cost]])</f>
        <v>588</v>
      </c>
      <c r="Q222" s="15">
        <f>(Shoe_Sales[[#This Row],[Profit]]/Shoe_Sales[[#This Row],[Revenue]])</f>
        <v>0.47191011235955055</v>
      </c>
    </row>
    <row r="223" spans="1:17" x14ac:dyDescent="0.25">
      <c r="A223" s="9">
        <v>46052</v>
      </c>
      <c r="B223" s="4" t="s">
        <v>38</v>
      </c>
      <c r="C223" s="2" t="str">
        <f t="shared" si="6"/>
        <v>Monk Straps</v>
      </c>
      <c r="D223" s="4" t="s">
        <v>8</v>
      </c>
      <c r="E223" s="2" t="str">
        <f t="shared" si="7"/>
        <v>Formal</v>
      </c>
      <c r="F223" s="4" t="s">
        <v>29</v>
      </c>
      <c r="G223" s="4" t="s">
        <v>20</v>
      </c>
      <c r="H223" s="4" t="str">
        <f>PROPER(Shoe_Sales[[#This Row],[Brand]])</f>
        <v>Nike</v>
      </c>
      <c r="I223" s="4" t="s">
        <v>35</v>
      </c>
      <c r="J223" s="5">
        <v>7</v>
      </c>
      <c r="K223" s="4" t="s">
        <v>82</v>
      </c>
      <c r="L223" s="12">
        <f>VLOOKUP(Shoe_Sales[[#This Row],[Product Cleaned]],Price!$A$2:$C$9,2,FALSE)</f>
        <v>89</v>
      </c>
      <c r="M223" s="12">
        <f>VLOOKUP(Shoe_Sales[[#This Row],[Product Cleaned]],Price!$A$2:$C$9,3,0)</f>
        <v>47</v>
      </c>
      <c r="N223" s="12">
        <f>(Shoe_Sales[[#This Row],[Quantity]]*Shoe_Sales[[#This Row],[Selling Price]])</f>
        <v>623</v>
      </c>
      <c r="O223" s="12">
        <f>(Shoe_Sales[[#This Row],[Quantity]]*Shoe_Sales[[#This Row],[Cost Price]])</f>
        <v>329</v>
      </c>
      <c r="P223" s="12">
        <f>(Shoe_Sales[[#This Row],[Revenue]]-Shoe_Sales[[#This Row],[Cost]])</f>
        <v>294</v>
      </c>
      <c r="Q223" s="15">
        <f>(Shoe_Sales[[#This Row],[Profit]]/Shoe_Sales[[#This Row],[Revenue]])</f>
        <v>0.47191011235955055</v>
      </c>
    </row>
    <row r="224" spans="1:17" x14ac:dyDescent="0.25">
      <c r="A224" s="8">
        <v>46141</v>
      </c>
      <c r="B224" s="2" t="s">
        <v>62</v>
      </c>
      <c r="C224" s="2" t="str">
        <f t="shared" si="6"/>
        <v>Brogues</v>
      </c>
      <c r="D224" s="2" t="s">
        <v>8</v>
      </c>
      <c r="E224" s="2" t="str">
        <f t="shared" si="7"/>
        <v>Formal</v>
      </c>
      <c r="F224" s="2" t="s">
        <v>14</v>
      </c>
      <c r="G224" s="2" t="s">
        <v>73</v>
      </c>
      <c r="H224" s="2" t="str">
        <f>PROPER(Shoe_Sales[[#This Row],[Brand]])</f>
        <v>Timberland</v>
      </c>
      <c r="I224" s="2" t="s">
        <v>37</v>
      </c>
      <c r="J224" s="3">
        <v>8</v>
      </c>
      <c r="K224" s="2" t="s">
        <v>79</v>
      </c>
      <c r="L224" s="12">
        <f>VLOOKUP(Shoe_Sales[[#This Row],[Product Cleaned]],Price!$A$2:$C$9,2,FALSE)</f>
        <v>112</v>
      </c>
      <c r="M224" s="12">
        <f>VLOOKUP(Shoe_Sales[[#This Row],[Product Cleaned]],Price!$A$2:$C$9,3,0)</f>
        <v>64</v>
      </c>
      <c r="N224" s="12">
        <f>(Shoe_Sales[[#This Row],[Quantity]]*Shoe_Sales[[#This Row],[Selling Price]])</f>
        <v>896</v>
      </c>
      <c r="O224" s="12">
        <f>(Shoe_Sales[[#This Row],[Quantity]]*Shoe_Sales[[#This Row],[Cost Price]])</f>
        <v>512</v>
      </c>
      <c r="P224" s="12">
        <f>(Shoe_Sales[[#This Row],[Revenue]]-Shoe_Sales[[#This Row],[Cost]])</f>
        <v>384</v>
      </c>
      <c r="Q224" s="15">
        <f>(Shoe_Sales[[#This Row],[Profit]]/Shoe_Sales[[#This Row],[Revenue]])</f>
        <v>0.42857142857142855</v>
      </c>
    </row>
    <row r="225" spans="1:17" x14ac:dyDescent="0.25">
      <c r="A225" s="9">
        <v>46054</v>
      </c>
      <c r="B225" s="4" t="s">
        <v>32</v>
      </c>
      <c r="C225" s="2" t="str">
        <f t="shared" si="6"/>
        <v>Oxford</v>
      </c>
      <c r="D225" s="4" t="s">
        <v>39</v>
      </c>
      <c r="E225" s="2" t="str">
        <f t="shared" si="7"/>
        <v>Formal</v>
      </c>
      <c r="F225" s="4" t="s">
        <v>9</v>
      </c>
      <c r="G225" s="4" t="s">
        <v>10</v>
      </c>
      <c r="H225" s="4" t="str">
        <f>PROPER(Shoe_Sales[[#This Row],[Brand]])</f>
        <v>Clarks</v>
      </c>
      <c r="I225" s="4" t="s">
        <v>31</v>
      </c>
      <c r="J225" s="5">
        <v>12</v>
      </c>
      <c r="K225" s="4" t="s">
        <v>80</v>
      </c>
      <c r="L225" s="12">
        <f>VLOOKUP(Shoe_Sales[[#This Row],[Product Cleaned]],Price!$A$2:$C$9,2,FALSE)</f>
        <v>105</v>
      </c>
      <c r="M225" s="12">
        <f>VLOOKUP(Shoe_Sales[[#This Row],[Product Cleaned]],Price!$A$2:$C$9,3,0)</f>
        <v>58</v>
      </c>
      <c r="N225" s="12">
        <f>(Shoe_Sales[[#This Row],[Quantity]]*Shoe_Sales[[#This Row],[Selling Price]])</f>
        <v>1260</v>
      </c>
      <c r="O225" s="12">
        <f>(Shoe_Sales[[#This Row],[Quantity]]*Shoe_Sales[[#This Row],[Cost Price]])</f>
        <v>696</v>
      </c>
      <c r="P225" s="12">
        <f>(Shoe_Sales[[#This Row],[Revenue]]-Shoe_Sales[[#This Row],[Cost]])</f>
        <v>564</v>
      </c>
      <c r="Q225" s="15">
        <f>(Shoe_Sales[[#This Row],[Profit]]/Shoe_Sales[[#This Row],[Revenue]])</f>
        <v>0.44761904761904764</v>
      </c>
    </row>
    <row r="226" spans="1:17" x14ac:dyDescent="0.25">
      <c r="A226" s="8">
        <v>46037</v>
      </c>
      <c r="B226" s="2" t="s">
        <v>67</v>
      </c>
      <c r="C226" s="2" t="str">
        <f t="shared" si="6"/>
        <v>Slippers</v>
      </c>
      <c r="D226" s="2" t="s">
        <v>39</v>
      </c>
      <c r="E226" s="2" t="str">
        <f t="shared" si="7"/>
        <v>Formal</v>
      </c>
      <c r="F226" s="2" t="s">
        <v>14</v>
      </c>
      <c r="G226" s="2" t="s">
        <v>15</v>
      </c>
      <c r="H226" s="2" t="str">
        <f>PROPER(Shoe_Sales[[#This Row],[Brand]])</f>
        <v>Steve Madden</v>
      </c>
      <c r="I226" s="2" t="s">
        <v>26</v>
      </c>
      <c r="J226" s="3">
        <v>8</v>
      </c>
      <c r="K226" s="2" t="s">
        <v>80</v>
      </c>
      <c r="L226" s="12">
        <f>VLOOKUP(Shoe_Sales[[#This Row],[Product Cleaned]],Price!$A$2:$C$9,2,FALSE)</f>
        <v>119</v>
      </c>
      <c r="M226" s="12">
        <f>VLOOKUP(Shoe_Sales[[#This Row],[Product Cleaned]],Price!$A$2:$C$9,3,0)</f>
        <v>67</v>
      </c>
      <c r="N226" s="12">
        <f>(Shoe_Sales[[#This Row],[Quantity]]*Shoe_Sales[[#This Row],[Selling Price]])</f>
        <v>952</v>
      </c>
      <c r="O226" s="12">
        <f>(Shoe_Sales[[#This Row],[Quantity]]*Shoe_Sales[[#This Row],[Cost Price]])</f>
        <v>536</v>
      </c>
      <c r="P226" s="12">
        <f>(Shoe_Sales[[#This Row],[Revenue]]-Shoe_Sales[[#This Row],[Cost]])</f>
        <v>416</v>
      </c>
      <c r="Q226" s="15">
        <f>(Shoe_Sales[[#This Row],[Profit]]/Shoe_Sales[[#This Row],[Revenue]])</f>
        <v>0.43697478991596639</v>
      </c>
    </row>
    <row r="227" spans="1:17" x14ac:dyDescent="0.25">
      <c r="A227" s="9">
        <v>46157</v>
      </c>
      <c r="B227" s="4" t="s">
        <v>59</v>
      </c>
      <c r="C227" s="2" t="str">
        <f t="shared" si="6"/>
        <v>Oxford</v>
      </c>
      <c r="D227" s="4" t="s">
        <v>18</v>
      </c>
      <c r="E227" s="2" t="str">
        <f t="shared" si="7"/>
        <v>Open</v>
      </c>
      <c r="F227" s="4" t="s">
        <v>19</v>
      </c>
      <c r="G227" s="4" t="s">
        <v>20</v>
      </c>
      <c r="H227" s="4" t="str">
        <f>PROPER(Shoe_Sales[[#This Row],[Brand]])</f>
        <v>Nike</v>
      </c>
      <c r="I227" s="4" t="s">
        <v>61</v>
      </c>
      <c r="J227" s="5">
        <v>11</v>
      </c>
      <c r="K227" s="4" t="s">
        <v>81</v>
      </c>
      <c r="L227" s="12">
        <f>VLOOKUP(Shoe_Sales[[#This Row],[Product Cleaned]],Price!$A$2:$C$9,2,FALSE)</f>
        <v>105</v>
      </c>
      <c r="M227" s="12">
        <f>VLOOKUP(Shoe_Sales[[#This Row],[Product Cleaned]],Price!$A$2:$C$9,3,0)</f>
        <v>58</v>
      </c>
      <c r="N227" s="12">
        <f>(Shoe_Sales[[#This Row],[Quantity]]*Shoe_Sales[[#This Row],[Selling Price]])</f>
        <v>1155</v>
      </c>
      <c r="O227" s="12">
        <f>(Shoe_Sales[[#This Row],[Quantity]]*Shoe_Sales[[#This Row],[Cost Price]])</f>
        <v>638</v>
      </c>
      <c r="P227" s="12">
        <f>(Shoe_Sales[[#This Row],[Revenue]]-Shoe_Sales[[#This Row],[Cost]])</f>
        <v>517</v>
      </c>
      <c r="Q227" s="15">
        <f>(Shoe_Sales[[#This Row],[Profit]]/Shoe_Sales[[#This Row],[Revenue]])</f>
        <v>0.44761904761904764</v>
      </c>
    </row>
    <row r="228" spans="1:17" x14ac:dyDescent="0.25">
      <c r="A228" s="8">
        <v>46239</v>
      </c>
      <c r="B228" s="2" t="s">
        <v>27</v>
      </c>
      <c r="C228" s="2" t="str">
        <f t="shared" si="6"/>
        <v>Boots</v>
      </c>
      <c r="D228" s="2" t="s">
        <v>56</v>
      </c>
      <c r="E228" s="2" t="str">
        <f t="shared" si="7"/>
        <v>Utility</v>
      </c>
      <c r="F228" s="2" t="s">
        <v>14</v>
      </c>
      <c r="G228" s="2" t="s">
        <v>53</v>
      </c>
      <c r="H228" s="2" t="str">
        <f>PROPER(Shoe_Sales[[#This Row],[Brand]])</f>
        <v>Zara</v>
      </c>
      <c r="I228" s="2" t="s">
        <v>58</v>
      </c>
      <c r="J228" s="3">
        <v>2</v>
      </c>
      <c r="K228" s="2" t="s">
        <v>82</v>
      </c>
      <c r="L228" s="12">
        <f>VLOOKUP(Shoe_Sales[[#This Row],[Product Cleaned]],Price!$A$2:$C$9,2,FALSE)</f>
        <v>76</v>
      </c>
      <c r="M228" s="12">
        <f>VLOOKUP(Shoe_Sales[[#This Row],[Product Cleaned]],Price!$A$2:$C$9,3,0)</f>
        <v>39</v>
      </c>
      <c r="N228" s="12">
        <f>(Shoe_Sales[[#This Row],[Quantity]]*Shoe_Sales[[#This Row],[Selling Price]])</f>
        <v>152</v>
      </c>
      <c r="O228" s="12">
        <f>(Shoe_Sales[[#This Row],[Quantity]]*Shoe_Sales[[#This Row],[Cost Price]])</f>
        <v>78</v>
      </c>
      <c r="P228" s="12">
        <f>(Shoe_Sales[[#This Row],[Revenue]]-Shoe_Sales[[#This Row],[Cost]])</f>
        <v>74</v>
      </c>
      <c r="Q228" s="15">
        <f>(Shoe_Sales[[#This Row],[Profit]]/Shoe_Sales[[#This Row],[Revenue]])</f>
        <v>0.48684210526315791</v>
      </c>
    </row>
    <row r="229" spans="1:17" x14ac:dyDescent="0.25">
      <c r="A229" s="9">
        <v>46124</v>
      </c>
      <c r="B229" s="4" t="s">
        <v>17</v>
      </c>
      <c r="C229" s="2" t="str">
        <f t="shared" si="6"/>
        <v>Slippers</v>
      </c>
      <c r="D229" s="4" t="s">
        <v>33</v>
      </c>
      <c r="E229" s="2" t="str">
        <f t="shared" si="7"/>
        <v>Formal</v>
      </c>
      <c r="F229" s="4" t="s">
        <v>29</v>
      </c>
      <c r="G229" s="4" t="s">
        <v>45</v>
      </c>
      <c r="H229" s="4" t="str">
        <f>PROPER(Shoe_Sales[[#This Row],[Brand]])</f>
        <v>Steve Madden</v>
      </c>
      <c r="I229" s="4" t="s">
        <v>35</v>
      </c>
      <c r="J229" s="5">
        <v>7</v>
      </c>
      <c r="K229" s="4" t="s">
        <v>79</v>
      </c>
      <c r="L229" s="12">
        <f>VLOOKUP(Shoe_Sales[[#This Row],[Product Cleaned]],Price!$A$2:$C$9,2,FALSE)</f>
        <v>119</v>
      </c>
      <c r="M229" s="12">
        <f>VLOOKUP(Shoe_Sales[[#This Row],[Product Cleaned]],Price!$A$2:$C$9,3,0)</f>
        <v>67</v>
      </c>
      <c r="N229" s="12">
        <f>(Shoe_Sales[[#This Row],[Quantity]]*Shoe_Sales[[#This Row],[Selling Price]])</f>
        <v>833</v>
      </c>
      <c r="O229" s="12">
        <f>(Shoe_Sales[[#This Row],[Quantity]]*Shoe_Sales[[#This Row],[Cost Price]])</f>
        <v>469</v>
      </c>
      <c r="P229" s="12">
        <f>(Shoe_Sales[[#This Row],[Revenue]]-Shoe_Sales[[#This Row],[Cost]])</f>
        <v>364</v>
      </c>
      <c r="Q229" s="15">
        <f>(Shoe_Sales[[#This Row],[Profit]]/Shoe_Sales[[#This Row],[Revenue]])</f>
        <v>0.43697478991596639</v>
      </c>
    </row>
    <row r="230" spans="1:17" x14ac:dyDescent="0.25">
      <c r="A230" s="8">
        <v>46061</v>
      </c>
      <c r="B230" s="2" t="s">
        <v>17</v>
      </c>
      <c r="C230" s="2" t="str">
        <f t="shared" si="6"/>
        <v>Slippers</v>
      </c>
      <c r="D230" s="2" t="s">
        <v>33</v>
      </c>
      <c r="E230" s="2" t="str">
        <f t="shared" si="7"/>
        <v>Formal</v>
      </c>
      <c r="F230" s="2" t="s">
        <v>24</v>
      </c>
      <c r="G230" s="2" t="s">
        <v>53</v>
      </c>
      <c r="H230" s="2" t="str">
        <f>PROPER(Shoe_Sales[[#This Row],[Brand]])</f>
        <v>Zara</v>
      </c>
      <c r="I230" s="2" t="s">
        <v>31</v>
      </c>
      <c r="J230" s="3">
        <v>1</v>
      </c>
      <c r="K230" s="2" t="s">
        <v>82</v>
      </c>
      <c r="L230" s="12">
        <f>VLOOKUP(Shoe_Sales[[#This Row],[Product Cleaned]],Price!$A$2:$C$9,2,FALSE)</f>
        <v>119</v>
      </c>
      <c r="M230" s="12">
        <f>VLOOKUP(Shoe_Sales[[#This Row],[Product Cleaned]],Price!$A$2:$C$9,3,0)</f>
        <v>67</v>
      </c>
      <c r="N230" s="12">
        <f>(Shoe_Sales[[#This Row],[Quantity]]*Shoe_Sales[[#This Row],[Selling Price]])</f>
        <v>119</v>
      </c>
      <c r="O230" s="12">
        <f>(Shoe_Sales[[#This Row],[Quantity]]*Shoe_Sales[[#This Row],[Cost Price]])</f>
        <v>67</v>
      </c>
      <c r="P230" s="12">
        <f>(Shoe_Sales[[#This Row],[Revenue]]-Shoe_Sales[[#This Row],[Cost]])</f>
        <v>52</v>
      </c>
      <c r="Q230" s="15">
        <f>(Shoe_Sales[[#This Row],[Profit]]/Shoe_Sales[[#This Row],[Revenue]])</f>
        <v>0.43697478991596639</v>
      </c>
    </row>
    <row r="231" spans="1:17" x14ac:dyDescent="0.25">
      <c r="A231" s="9">
        <v>46090</v>
      </c>
      <c r="B231" s="4" t="s">
        <v>7</v>
      </c>
      <c r="C231" s="2" t="str">
        <f t="shared" si="6"/>
        <v>Derby</v>
      </c>
      <c r="D231" s="4" t="s">
        <v>72</v>
      </c>
      <c r="E231" s="2" t="str">
        <f t="shared" si="7"/>
        <v>Utility</v>
      </c>
      <c r="F231" s="4" t="s">
        <v>24</v>
      </c>
      <c r="G231" s="4" t="s">
        <v>20</v>
      </c>
      <c r="H231" s="4" t="str">
        <f>PROPER(Shoe_Sales[[#This Row],[Brand]])</f>
        <v>Nike</v>
      </c>
      <c r="I231" s="4" t="s">
        <v>43</v>
      </c>
      <c r="J231" s="5">
        <v>11</v>
      </c>
      <c r="K231" s="4" t="s">
        <v>81</v>
      </c>
      <c r="L231" s="12">
        <f>VLOOKUP(Shoe_Sales[[#This Row],[Product Cleaned]],Price!$A$2:$C$9,2,FALSE)</f>
        <v>32</v>
      </c>
      <c r="M231" s="12">
        <f>VLOOKUP(Shoe_Sales[[#This Row],[Product Cleaned]],Price!$A$2:$C$9,3,0)</f>
        <v>14</v>
      </c>
      <c r="N231" s="12">
        <f>(Shoe_Sales[[#This Row],[Quantity]]*Shoe_Sales[[#This Row],[Selling Price]])</f>
        <v>352</v>
      </c>
      <c r="O231" s="12">
        <f>(Shoe_Sales[[#This Row],[Quantity]]*Shoe_Sales[[#This Row],[Cost Price]])</f>
        <v>154</v>
      </c>
      <c r="P231" s="12">
        <f>(Shoe_Sales[[#This Row],[Revenue]]-Shoe_Sales[[#This Row],[Cost]])</f>
        <v>198</v>
      </c>
      <c r="Q231" s="15">
        <f>(Shoe_Sales[[#This Row],[Profit]]/Shoe_Sales[[#This Row],[Revenue]])</f>
        <v>0.5625</v>
      </c>
    </row>
    <row r="232" spans="1:17" x14ac:dyDescent="0.25">
      <c r="A232" s="8">
        <v>46182</v>
      </c>
      <c r="B232" s="2" t="s">
        <v>75</v>
      </c>
      <c r="C232" s="2" t="str">
        <f t="shared" si="6"/>
        <v>Brogues</v>
      </c>
      <c r="D232" s="2" t="s">
        <v>23</v>
      </c>
      <c r="E232" s="2" t="str">
        <f t="shared" si="7"/>
        <v>Casual</v>
      </c>
      <c r="F232" s="2" t="s">
        <v>14</v>
      </c>
      <c r="G232" s="2" t="s">
        <v>49</v>
      </c>
      <c r="H232" s="2" t="str">
        <f>PROPER(Shoe_Sales[[#This Row],[Brand]])</f>
        <v>Nike</v>
      </c>
      <c r="I232" s="2" t="s">
        <v>21</v>
      </c>
      <c r="J232" s="3">
        <v>14</v>
      </c>
      <c r="K232" s="2" t="s">
        <v>79</v>
      </c>
      <c r="L232" s="12">
        <f>VLOOKUP(Shoe_Sales[[#This Row],[Product Cleaned]],Price!$A$2:$C$9,2,FALSE)</f>
        <v>112</v>
      </c>
      <c r="M232" s="12">
        <f>VLOOKUP(Shoe_Sales[[#This Row],[Product Cleaned]],Price!$A$2:$C$9,3,0)</f>
        <v>64</v>
      </c>
      <c r="N232" s="12">
        <f>(Shoe_Sales[[#This Row],[Quantity]]*Shoe_Sales[[#This Row],[Selling Price]])</f>
        <v>1568</v>
      </c>
      <c r="O232" s="12">
        <f>(Shoe_Sales[[#This Row],[Quantity]]*Shoe_Sales[[#This Row],[Cost Price]])</f>
        <v>896</v>
      </c>
      <c r="P232" s="12">
        <f>(Shoe_Sales[[#This Row],[Revenue]]-Shoe_Sales[[#This Row],[Cost]])</f>
        <v>672</v>
      </c>
      <c r="Q232" s="15">
        <f>(Shoe_Sales[[#This Row],[Profit]]/Shoe_Sales[[#This Row],[Revenue]])</f>
        <v>0.42857142857142855</v>
      </c>
    </row>
    <row r="233" spans="1:17" x14ac:dyDescent="0.25">
      <c r="A233" s="9">
        <v>46120</v>
      </c>
      <c r="B233" s="4" t="s">
        <v>47</v>
      </c>
      <c r="C233" s="2" t="str">
        <f t="shared" si="6"/>
        <v>Slippers</v>
      </c>
      <c r="D233" s="4" t="s">
        <v>39</v>
      </c>
      <c r="E233" s="2" t="str">
        <f t="shared" si="7"/>
        <v>Formal</v>
      </c>
      <c r="F233" s="4" t="s">
        <v>14</v>
      </c>
      <c r="G233" s="4" t="s">
        <v>40</v>
      </c>
      <c r="H233" s="4" t="str">
        <f>PROPER(Shoe_Sales[[#This Row],[Brand]])</f>
        <v>Zara</v>
      </c>
      <c r="I233" s="4" t="s">
        <v>21</v>
      </c>
      <c r="J233" s="5">
        <v>4</v>
      </c>
      <c r="K233" s="4" t="s">
        <v>81</v>
      </c>
      <c r="L233" s="12">
        <f>VLOOKUP(Shoe_Sales[[#This Row],[Product Cleaned]],Price!$A$2:$C$9,2,FALSE)</f>
        <v>119</v>
      </c>
      <c r="M233" s="12">
        <f>VLOOKUP(Shoe_Sales[[#This Row],[Product Cleaned]],Price!$A$2:$C$9,3,0)</f>
        <v>67</v>
      </c>
      <c r="N233" s="12">
        <f>(Shoe_Sales[[#This Row],[Quantity]]*Shoe_Sales[[#This Row],[Selling Price]])</f>
        <v>476</v>
      </c>
      <c r="O233" s="12">
        <f>(Shoe_Sales[[#This Row],[Quantity]]*Shoe_Sales[[#This Row],[Cost Price]])</f>
        <v>268</v>
      </c>
      <c r="P233" s="12">
        <f>(Shoe_Sales[[#This Row],[Revenue]]-Shoe_Sales[[#This Row],[Cost]])</f>
        <v>208</v>
      </c>
      <c r="Q233" s="15">
        <f>(Shoe_Sales[[#This Row],[Profit]]/Shoe_Sales[[#This Row],[Revenue]])</f>
        <v>0.43697478991596639</v>
      </c>
    </row>
    <row r="234" spans="1:17" x14ac:dyDescent="0.25">
      <c r="A234" s="8">
        <v>46148</v>
      </c>
      <c r="B234" s="2" t="s">
        <v>71</v>
      </c>
      <c r="C234" s="2" t="str">
        <f t="shared" si="6"/>
        <v>Boots</v>
      </c>
      <c r="D234" s="2" t="s">
        <v>8</v>
      </c>
      <c r="E234" s="2" t="str">
        <f t="shared" si="7"/>
        <v>Formal</v>
      </c>
      <c r="F234" s="2" t="s">
        <v>24</v>
      </c>
      <c r="G234" s="2" t="s">
        <v>34</v>
      </c>
      <c r="H234" s="2" t="str">
        <f>PROPER(Shoe_Sales[[#This Row],[Brand]])</f>
        <v>Clarks</v>
      </c>
      <c r="I234" s="2" t="s">
        <v>46</v>
      </c>
      <c r="J234" s="3">
        <v>5</v>
      </c>
      <c r="K234" s="2" t="s">
        <v>80</v>
      </c>
      <c r="L234" s="12">
        <f>VLOOKUP(Shoe_Sales[[#This Row],[Product Cleaned]],Price!$A$2:$C$9,2,FALSE)</f>
        <v>76</v>
      </c>
      <c r="M234" s="12">
        <f>VLOOKUP(Shoe_Sales[[#This Row],[Product Cleaned]],Price!$A$2:$C$9,3,0)</f>
        <v>39</v>
      </c>
      <c r="N234" s="12">
        <f>(Shoe_Sales[[#This Row],[Quantity]]*Shoe_Sales[[#This Row],[Selling Price]])</f>
        <v>380</v>
      </c>
      <c r="O234" s="12">
        <f>(Shoe_Sales[[#This Row],[Quantity]]*Shoe_Sales[[#This Row],[Cost Price]])</f>
        <v>195</v>
      </c>
      <c r="P234" s="12">
        <f>(Shoe_Sales[[#This Row],[Revenue]]-Shoe_Sales[[#This Row],[Cost]])</f>
        <v>185</v>
      </c>
      <c r="Q234" s="15">
        <f>(Shoe_Sales[[#This Row],[Profit]]/Shoe_Sales[[#This Row],[Revenue]])</f>
        <v>0.48684210526315791</v>
      </c>
    </row>
    <row r="235" spans="1:17" x14ac:dyDescent="0.25">
      <c r="A235" s="9">
        <v>46228</v>
      </c>
      <c r="B235" s="4" t="s">
        <v>65</v>
      </c>
      <c r="C235" s="2" t="str">
        <f t="shared" si="6"/>
        <v>Canvas</v>
      </c>
      <c r="D235" s="4" t="s">
        <v>33</v>
      </c>
      <c r="E235" s="2" t="str">
        <f t="shared" si="7"/>
        <v>Formal</v>
      </c>
      <c r="F235" s="4" t="s">
        <v>14</v>
      </c>
      <c r="G235" s="4" t="s">
        <v>10</v>
      </c>
      <c r="H235" s="4" t="str">
        <f>PROPER(Shoe_Sales[[#This Row],[Brand]])</f>
        <v>Clarks</v>
      </c>
      <c r="I235" s="4" t="s">
        <v>11</v>
      </c>
      <c r="J235" s="5">
        <v>5</v>
      </c>
      <c r="K235" s="4" t="s">
        <v>82</v>
      </c>
      <c r="L235" s="12">
        <f>VLOOKUP(Shoe_Sales[[#This Row],[Product Cleaned]],Price!$A$2:$C$9,2,FALSE)</f>
        <v>128</v>
      </c>
      <c r="M235" s="12">
        <f>VLOOKUP(Shoe_Sales[[#This Row],[Product Cleaned]],Price!$A$2:$C$9,3,0)</f>
        <v>72</v>
      </c>
      <c r="N235" s="12">
        <f>(Shoe_Sales[[#This Row],[Quantity]]*Shoe_Sales[[#This Row],[Selling Price]])</f>
        <v>640</v>
      </c>
      <c r="O235" s="12">
        <f>(Shoe_Sales[[#This Row],[Quantity]]*Shoe_Sales[[#This Row],[Cost Price]])</f>
        <v>360</v>
      </c>
      <c r="P235" s="12">
        <f>(Shoe_Sales[[#This Row],[Revenue]]-Shoe_Sales[[#This Row],[Cost]])</f>
        <v>280</v>
      </c>
      <c r="Q235" s="15">
        <f>(Shoe_Sales[[#This Row],[Profit]]/Shoe_Sales[[#This Row],[Revenue]])</f>
        <v>0.4375</v>
      </c>
    </row>
    <row r="236" spans="1:17" x14ac:dyDescent="0.25">
      <c r="A236" s="8">
        <v>46185</v>
      </c>
      <c r="B236" s="2" t="s">
        <v>7</v>
      </c>
      <c r="C236" s="2" t="str">
        <f t="shared" si="6"/>
        <v>Derby</v>
      </c>
      <c r="D236" s="2" t="s">
        <v>39</v>
      </c>
      <c r="E236" s="2" t="str">
        <f t="shared" si="7"/>
        <v>Formal</v>
      </c>
      <c r="F236" s="2" t="s">
        <v>29</v>
      </c>
      <c r="G236" s="2" t="s">
        <v>53</v>
      </c>
      <c r="H236" s="2" t="str">
        <f>PROPER(Shoe_Sales[[#This Row],[Brand]])</f>
        <v>Zara</v>
      </c>
      <c r="I236" s="2" t="s">
        <v>31</v>
      </c>
      <c r="J236" s="3">
        <v>15</v>
      </c>
      <c r="K236" s="2" t="s">
        <v>79</v>
      </c>
      <c r="L236" s="12">
        <f>VLOOKUP(Shoe_Sales[[#This Row],[Product Cleaned]],Price!$A$2:$C$9,2,FALSE)</f>
        <v>32</v>
      </c>
      <c r="M236" s="12">
        <f>VLOOKUP(Shoe_Sales[[#This Row],[Product Cleaned]],Price!$A$2:$C$9,3,0)</f>
        <v>14</v>
      </c>
      <c r="N236" s="12">
        <f>(Shoe_Sales[[#This Row],[Quantity]]*Shoe_Sales[[#This Row],[Selling Price]])</f>
        <v>480</v>
      </c>
      <c r="O236" s="12">
        <f>(Shoe_Sales[[#This Row],[Quantity]]*Shoe_Sales[[#This Row],[Cost Price]])</f>
        <v>210</v>
      </c>
      <c r="P236" s="12">
        <f>(Shoe_Sales[[#This Row],[Revenue]]-Shoe_Sales[[#This Row],[Cost]])</f>
        <v>270</v>
      </c>
      <c r="Q236" s="15">
        <f>(Shoe_Sales[[#This Row],[Profit]]/Shoe_Sales[[#This Row],[Revenue]])</f>
        <v>0.5625</v>
      </c>
    </row>
    <row r="237" spans="1:17" x14ac:dyDescent="0.25">
      <c r="A237" s="9">
        <v>46194</v>
      </c>
      <c r="B237" s="4" t="s">
        <v>27</v>
      </c>
      <c r="C237" s="2" t="str">
        <f t="shared" si="6"/>
        <v>Boots</v>
      </c>
      <c r="D237" s="4" t="s">
        <v>39</v>
      </c>
      <c r="E237" s="2" t="str">
        <f t="shared" si="7"/>
        <v>Formal</v>
      </c>
      <c r="F237" s="4" t="s">
        <v>14</v>
      </c>
      <c r="G237" s="4" t="s">
        <v>10</v>
      </c>
      <c r="H237" s="4" t="str">
        <f>PROPER(Shoe_Sales[[#This Row],[Brand]])</f>
        <v>Clarks</v>
      </c>
      <c r="I237" s="4" t="s">
        <v>31</v>
      </c>
      <c r="J237" s="5">
        <v>14</v>
      </c>
      <c r="K237" s="4" t="s">
        <v>80</v>
      </c>
      <c r="L237" s="12">
        <f>VLOOKUP(Shoe_Sales[[#This Row],[Product Cleaned]],Price!$A$2:$C$9,2,FALSE)</f>
        <v>76</v>
      </c>
      <c r="M237" s="12">
        <f>VLOOKUP(Shoe_Sales[[#This Row],[Product Cleaned]],Price!$A$2:$C$9,3,0)</f>
        <v>39</v>
      </c>
      <c r="N237" s="12">
        <f>(Shoe_Sales[[#This Row],[Quantity]]*Shoe_Sales[[#This Row],[Selling Price]])</f>
        <v>1064</v>
      </c>
      <c r="O237" s="12">
        <f>(Shoe_Sales[[#This Row],[Quantity]]*Shoe_Sales[[#This Row],[Cost Price]])</f>
        <v>546</v>
      </c>
      <c r="P237" s="12">
        <f>(Shoe_Sales[[#This Row],[Revenue]]-Shoe_Sales[[#This Row],[Cost]])</f>
        <v>518</v>
      </c>
      <c r="Q237" s="15">
        <f>(Shoe_Sales[[#This Row],[Profit]]/Shoe_Sales[[#This Row],[Revenue]])</f>
        <v>0.48684210526315791</v>
      </c>
    </row>
    <row r="238" spans="1:17" x14ac:dyDescent="0.25">
      <c r="A238" s="8">
        <v>46140</v>
      </c>
      <c r="B238" s="2" t="s">
        <v>22</v>
      </c>
      <c r="C238" s="2" t="str">
        <f t="shared" si="6"/>
        <v>Loafers</v>
      </c>
      <c r="D238" s="2" t="s">
        <v>18</v>
      </c>
      <c r="E238" s="2" t="str">
        <f t="shared" si="7"/>
        <v>Open</v>
      </c>
      <c r="F238" s="2" t="s">
        <v>24</v>
      </c>
      <c r="G238" s="2" t="s">
        <v>73</v>
      </c>
      <c r="H238" s="2" t="str">
        <f>PROPER(Shoe_Sales[[#This Row],[Brand]])</f>
        <v>Timberland</v>
      </c>
      <c r="I238" s="2" t="s">
        <v>16</v>
      </c>
      <c r="J238" s="3">
        <v>6</v>
      </c>
      <c r="K238" s="2" t="s">
        <v>82</v>
      </c>
      <c r="L238" s="12">
        <f>VLOOKUP(Shoe_Sales[[#This Row],[Product Cleaned]],Price!$A$2:$C$9,2,FALSE)</f>
        <v>54</v>
      </c>
      <c r="M238" s="12">
        <f>VLOOKUP(Shoe_Sales[[#This Row],[Product Cleaned]],Price!$A$2:$C$9,3,0)</f>
        <v>28</v>
      </c>
      <c r="N238" s="12">
        <f>(Shoe_Sales[[#This Row],[Quantity]]*Shoe_Sales[[#This Row],[Selling Price]])</f>
        <v>324</v>
      </c>
      <c r="O238" s="12">
        <f>(Shoe_Sales[[#This Row],[Quantity]]*Shoe_Sales[[#This Row],[Cost Price]])</f>
        <v>168</v>
      </c>
      <c r="P238" s="12">
        <f>(Shoe_Sales[[#This Row],[Revenue]]-Shoe_Sales[[#This Row],[Cost]])</f>
        <v>156</v>
      </c>
      <c r="Q238" s="15">
        <f>(Shoe_Sales[[#This Row],[Profit]]/Shoe_Sales[[#This Row],[Revenue]])</f>
        <v>0.48148148148148145</v>
      </c>
    </row>
    <row r="239" spans="1:17" x14ac:dyDescent="0.25">
      <c r="A239" s="9">
        <v>46216</v>
      </c>
      <c r="B239" s="4" t="s">
        <v>42</v>
      </c>
      <c r="C239" s="2" t="str">
        <f t="shared" si="6"/>
        <v>Derby</v>
      </c>
      <c r="D239" s="4" t="s">
        <v>52</v>
      </c>
      <c r="E239" s="2" t="str">
        <f t="shared" si="7"/>
        <v>Casual</v>
      </c>
      <c r="F239" s="4" t="s">
        <v>14</v>
      </c>
      <c r="G239" s="4" t="s">
        <v>40</v>
      </c>
      <c r="H239" s="4" t="str">
        <f>PROPER(Shoe_Sales[[#This Row],[Brand]])</f>
        <v>Zara</v>
      </c>
      <c r="I239" s="4" t="s">
        <v>61</v>
      </c>
      <c r="J239" s="5">
        <v>12</v>
      </c>
      <c r="K239" s="4" t="s">
        <v>81</v>
      </c>
      <c r="L239" s="12">
        <f>VLOOKUP(Shoe_Sales[[#This Row],[Product Cleaned]],Price!$A$2:$C$9,2,FALSE)</f>
        <v>32</v>
      </c>
      <c r="M239" s="12">
        <f>VLOOKUP(Shoe_Sales[[#This Row],[Product Cleaned]],Price!$A$2:$C$9,3,0)</f>
        <v>14</v>
      </c>
      <c r="N239" s="12">
        <f>(Shoe_Sales[[#This Row],[Quantity]]*Shoe_Sales[[#This Row],[Selling Price]])</f>
        <v>384</v>
      </c>
      <c r="O239" s="12">
        <f>(Shoe_Sales[[#This Row],[Quantity]]*Shoe_Sales[[#This Row],[Cost Price]])</f>
        <v>168</v>
      </c>
      <c r="P239" s="12">
        <f>(Shoe_Sales[[#This Row],[Revenue]]-Shoe_Sales[[#This Row],[Cost]])</f>
        <v>216</v>
      </c>
      <c r="Q239" s="15">
        <f>(Shoe_Sales[[#This Row],[Profit]]/Shoe_Sales[[#This Row],[Revenue]])</f>
        <v>0.5625</v>
      </c>
    </row>
    <row r="240" spans="1:17" x14ac:dyDescent="0.25">
      <c r="A240" s="8">
        <v>46023</v>
      </c>
      <c r="B240" s="2" t="s">
        <v>67</v>
      </c>
      <c r="C240" s="2" t="str">
        <f t="shared" si="6"/>
        <v>Slippers</v>
      </c>
      <c r="D240" s="2" t="s">
        <v>13</v>
      </c>
      <c r="E240" s="2" t="str">
        <f t="shared" si="7"/>
        <v>Casual</v>
      </c>
      <c r="F240" s="2" t="s">
        <v>9</v>
      </c>
      <c r="G240" s="2" t="s">
        <v>60</v>
      </c>
      <c r="H240" s="2" t="str">
        <f>PROPER(Shoe_Sales[[#This Row],[Brand]])</f>
        <v>Clarks</v>
      </c>
      <c r="I240" s="2" t="s">
        <v>31</v>
      </c>
      <c r="J240" s="3">
        <v>9</v>
      </c>
      <c r="K240" s="2" t="s">
        <v>81</v>
      </c>
      <c r="L240" s="12">
        <f>VLOOKUP(Shoe_Sales[[#This Row],[Product Cleaned]],Price!$A$2:$C$9,2,FALSE)</f>
        <v>119</v>
      </c>
      <c r="M240" s="12">
        <f>VLOOKUP(Shoe_Sales[[#This Row],[Product Cleaned]],Price!$A$2:$C$9,3,0)</f>
        <v>67</v>
      </c>
      <c r="N240" s="12">
        <f>(Shoe_Sales[[#This Row],[Quantity]]*Shoe_Sales[[#This Row],[Selling Price]])</f>
        <v>1071</v>
      </c>
      <c r="O240" s="12">
        <f>(Shoe_Sales[[#This Row],[Quantity]]*Shoe_Sales[[#This Row],[Cost Price]])</f>
        <v>603</v>
      </c>
      <c r="P240" s="12">
        <f>(Shoe_Sales[[#This Row],[Revenue]]-Shoe_Sales[[#This Row],[Cost]])</f>
        <v>468</v>
      </c>
      <c r="Q240" s="15">
        <f>(Shoe_Sales[[#This Row],[Profit]]/Shoe_Sales[[#This Row],[Revenue]])</f>
        <v>0.43697478991596639</v>
      </c>
    </row>
    <row r="241" spans="1:17" x14ac:dyDescent="0.25">
      <c r="A241" s="9">
        <v>46171</v>
      </c>
      <c r="B241" s="4" t="s">
        <v>55</v>
      </c>
      <c r="C241" s="2" t="str">
        <f t="shared" si="6"/>
        <v>Boots</v>
      </c>
      <c r="D241" s="4" t="s">
        <v>28</v>
      </c>
      <c r="E241" s="2" t="str">
        <f t="shared" si="7"/>
        <v>Utility</v>
      </c>
      <c r="F241" s="4" t="s">
        <v>19</v>
      </c>
      <c r="G241" s="4" t="s">
        <v>53</v>
      </c>
      <c r="H241" s="4" t="str">
        <f>PROPER(Shoe_Sales[[#This Row],[Brand]])</f>
        <v>Zara</v>
      </c>
      <c r="I241" s="4" t="s">
        <v>37</v>
      </c>
      <c r="J241" s="5">
        <v>7</v>
      </c>
      <c r="K241" s="4" t="s">
        <v>80</v>
      </c>
      <c r="L241" s="12">
        <f>VLOOKUP(Shoe_Sales[[#This Row],[Product Cleaned]],Price!$A$2:$C$9,2,FALSE)</f>
        <v>76</v>
      </c>
      <c r="M241" s="12">
        <f>VLOOKUP(Shoe_Sales[[#This Row],[Product Cleaned]],Price!$A$2:$C$9,3,0)</f>
        <v>39</v>
      </c>
      <c r="N241" s="12">
        <f>(Shoe_Sales[[#This Row],[Quantity]]*Shoe_Sales[[#This Row],[Selling Price]])</f>
        <v>532</v>
      </c>
      <c r="O241" s="12">
        <f>(Shoe_Sales[[#This Row],[Quantity]]*Shoe_Sales[[#This Row],[Cost Price]])</f>
        <v>273</v>
      </c>
      <c r="P241" s="12">
        <f>(Shoe_Sales[[#This Row],[Revenue]]-Shoe_Sales[[#This Row],[Cost]])</f>
        <v>259</v>
      </c>
      <c r="Q241" s="15">
        <f>(Shoe_Sales[[#This Row],[Profit]]/Shoe_Sales[[#This Row],[Revenue]])</f>
        <v>0.48684210526315791</v>
      </c>
    </row>
    <row r="242" spans="1:17" x14ac:dyDescent="0.25">
      <c r="A242" s="8">
        <v>46066</v>
      </c>
      <c r="B242" s="2" t="s">
        <v>36</v>
      </c>
      <c r="C242" s="2" t="str">
        <f t="shared" si="6"/>
        <v>Brogues</v>
      </c>
      <c r="D242" s="2" t="s">
        <v>52</v>
      </c>
      <c r="E242" s="2" t="str">
        <f t="shared" si="7"/>
        <v>Casual</v>
      </c>
      <c r="F242" s="2" t="s">
        <v>24</v>
      </c>
      <c r="G242" s="2" t="s">
        <v>40</v>
      </c>
      <c r="H242" s="2" t="str">
        <f>PROPER(Shoe_Sales[[#This Row],[Brand]])</f>
        <v>Zara</v>
      </c>
      <c r="I242" s="2" t="s">
        <v>58</v>
      </c>
      <c r="J242" s="3">
        <v>13</v>
      </c>
      <c r="K242" s="2" t="s">
        <v>81</v>
      </c>
      <c r="L242" s="12">
        <f>VLOOKUP(Shoe_Sales[[#This Row],[Product Cleaned]],Price!$A$2:$C$9,2,FALSE)</f>
        <v>112</v>
      </c>
      <c r="M242" s="12">
        <f>VLOOKUP(Shoe_Sales[[#This Row],[Product Cleaned]],Price!$A$2:$C$9,3,0)</f>
        <v>64</v>
      </c>
      <c r="N242" s="12">
        <f>(Shoe_Sales[[#This Row],[Quantity]]*Shoe_Sales[[#This Row],[Selling Price]])</f>
        <v>1456</v>
      </c>
      <c r="O242" s="12">
        <f>(Shoe_Sales[[#This Row],[Quantity]]*Shoe_Sales[[#This Row],[Cost Price]])</f>
        <v>832</v>
      </c>
      <c r="P242" s="12">
        <f>(Shoe_Sales[[#This Row],[Revenue]]-Shoe_Sales[[#This Row],[Cost]])</f>
        <v>624</v>
      </c>
      <c r="Q242" s="15">
        <f>(Shoe_Sales[[#This Row],[Profit]]/Shoe_Sales[[#This Row],[Revenue]])</f>
        <v>0.42857142857142855</v>
      </c>
    </row>
    <row r="243" spans="1:17" x14ac:dyDescent="0.25">
      <c r="A243" s="9">
        <v>46147</v>
      </c>
      <c r="B243" s="4" t="s">
        <v>38</v>
      </c>
      <c r="C243" s="2" t="str">
        <f t="shared" si="6"/>
        <v>Monk Straps</v>
      </c>
      <c r="D243" s="4" t="s">
        <v>28</v>
      </c>
      <c r="E243" s="2" t="str">
        <f t="shared" si="7"/>
        <v>Utility</v>
      </c>
      <c r="F243" s="4" t="s">
        <v>19</v>
      </c>
      <c r="G243" s="4" t="s">
        <v>60</v>
      </c>
      <c r="H243" s="4" t="str">
        <f>PROPER(Shoe_Sales[[#This Row],[Brand]])</f>
        <v>Clarks</v>
      </c>
      <c r="I243" s="4" t="s">
        <v>31</v>
      </c>
      <c r="J243" s="5">
        <v>8</v>
      </c>
      <c r="K243" s="4" t="s">
        <v>79</v>
      </c>
      <c r="L243" s="12">
        <f>VLOOKUP(Shoe_Sales[[#This Row],[Product Cleaned]],Price!$A$2:$C$9,2,FALSE)</f>
        <v>89</v>
      </c>
      <c r="M243" s="12">
        <f>VLOOKUP(Shoe_Sales[[#This Row],[Product Cleaned]],Price!$A$2:$C$9,3,0)</f>
        <v>47</v>
      </c>
      <c r="N243" s="12">
        <f>(Shoe_Sales[[#This Row],[Quantity]]*Shoe_Sales[[#This Row],[Selling Price]])</f>
        <v>712</v>
      </c>
      <c r="O243" s="12">
        <f>(Shoe_Sales[[#This Row],[Quantity]]*Shoe_Sales[[#This Row],[Cost Price]])</f>
        <v>376</v>
      </c>
      <c r="P243" s="12">
        <f>(Shoe_Sales[[#This Row],[Revenue]]-Shoe_Sales[[#This Row],[Cost]])</f>
        <v>336</v>
      </c>
      <c r="Q243" s="15">
        <f>(Shoe_Sales[[#This Row],[Profit]]/Shoe_Sales[[#This Row],[Revenue]])</f>
        <v>0.47191011235955055</v>
      </c>
    </row>
    <row r="244" spans="1:17" x14ac:dyDescent="0.25">
      <c r="A244" s="8">
        <v>46041</v>
      </c>
      <c r="B244" s="2" t="s">
        <v>22</v>
      </c>
      <c r="C244" s="2" t="str">
        <f t="shared" si="6"/>
        <v>Loafers</v>
      </c>
      <c r="D244" s="2" t="s">
        <v>8</v>
      </c>
      <c r="E244" s="2" t="str">
        <f t="shared" si="7"/>
        <v>Formal</v>
      </c>
      <c r="F244" s="2" t="s">
        <v>9</v>
      </c>
      <c r="G244" s="2" t="s">
        <v>20</v>
      </c>
      <c r="H244" s="2" t="str">
        <f>PROPER(Shoe_Sales[[#This Row],[Brand]])</f>
        <v>Nike</v>
      </c>
      <c r="I244" s="2" t="s">
        <v>26</v>
      </c>
      <c r="J244" s="3">
        <v>6</v>
      </c>
      <c r="K244" s="2" t="s">
        <v>81</v>
      </c>
      <c r="L244" s="12">
        <f>VLOOKUP(Shoe_Sales[[#This Row],[Product Cleaned]],Price!$A$2:$C$9,2,FALSE)</f>
        <v>54</v>
      </c>
      <c r="M244" s="12">
        <f>VLOOKUP(Shoe_Sales[[#This Row],[Product Cleaned]],Price!$A$2:$C$9,3,0)</f>
        <v>28</v>
      </c>
      <c r="N244" s="12">
        <f>(Shoe_Sales[[#This Row],[Quantity]]*Shoe_Sales[[#This Row],[Selling Price]])</f>
        <v>324</v>
      </c>
      <c r="O244" s="12">
        <f>(Shoe_Sales[[#This Row],[Quantity]]*Shoe_Sales[[#This Row],[Cost Price]])</f>
        <v>168</v>
      </c>
      <c r="P244" s="12">
        <f>(Shoe_Sales[[#This Row],[Revenue]]-Shoe_Sales[[#This Row],[Cost]])</f>
        <v>156</v>
      </c>
      <c r="Q244" s="15">
        <f>(Shoe_Sales[[#This Row],[Profit]]/Shoe_Sales[[#This Row],[Revenue]])</f>
        <v>0.48148148148148145</v>
      </c>
    </row>
    <row r="245" spans="1:17" x14ac:dyDescent="0.25">
      <c r="A245" s="9">
        <v>46224</v>
      </c>
      <c r="B245" s="4" t="s">
        <v>32</v>
      </c>
      <c r="C245" s="2" t="str">
        <f t="shared" si="6"/>
        <v>Oxford</v>
      </c>
      <c r="D245" s="4" t="s">
        <v>39</v>
      </c>
      <c r="E245" s="2" t="str">
        <f t="shared" si="7"/>
        <v>Formal</v>
      </c>
      <c r="F245" s="4" t="s">
        <v>29</v>
      </c>
      <c r="G245" s="4" t="s">
        <v>20</v>
      </c>
      <c r="H245" s="4" t="str">
        <f>PROPER(Shoe_Sales[[#This Row],[Brand]])</f>
        <v>Nike</v>
      </c>
      <c r="I245" s="4" t="s">
        <v>31</v>
      </c>
      <c r="J245" s="5">
        <v>13</v>
      </c>
      <c r="K245" s="4" t="s">
        <v>79</v>
      </c>
      <c r="L245" s="12">
        <f>VLOOKUP(Shoe_Sales[[#This Row],[Product Cleaned]],Price!$A$2:$C$9,2,FALSE)</f>
        <v>105</v>
      </c>
      <c r="M245" s="12">
        <f>VLOOKUP(Shoe_Sales[[#This Row],[Product Cleaned]],Price!$A$2:$C$9,3,0)</f>
        <v>58</v>
      </c>
      <c r="N245" s="12">
        <f>(Shoe_Sales[[#This Row],[Quantity]]*Shoe_Sales[[#This Row],[Selling Price]])</f>
        <v>1365</v>
      </c>
      <c r="O245" s="12">
        <f>(Shoe_Sales[[#This Row],[Quantity]]*Shoe_Sales[[#This Row],[Cost Price]])</f>
        <v>754</v>
      </c>
      <c r="P245" s="12">
        <f>(Shoe_Sales[[#This Row],[Revenue]]-Shoe_Sales[[#This Row],[Cost]])</f>
        <v>611</v>
      </c>
      <c r="Q245" s="15">
        <f>(Shoe_Sales[[#This Row],[Profit]]/Shoe_Sales[[#This Row],[Revenue]])</f>
        <v>0.44761904761904764</v>
      </c>
    </row>
    <row r="246" spans="1:17" x14ac:dyDescent="0.25">
      <c r="A246" s="8">
        <v>46203</v>
      </c>
      <c r="B246" s="2" t="s">
        <v>71</v>
      </c>
      <c r="C246" s="2" t="str">
        <f t="shared" si="6"/>
        <v>Boots</v>
      </c>
      <c r="D246" s="2" t="s">
        <v>39</v>
      </c>
      <c r="E246" s="2" t="str">
        <f t="shared" si="7"/>
        <v>Formal</v>
      </c>
      <c r="F246" s="2" t="s">
        <v>29</v>
      </c>
      <c r="G246" s="2" t="s">
        <v>25</v>
      </c>
      <c r="H246" s="2" t="str">
        <f>PROPER(Shoe_Sales[[#This Row],[Brand]])</f>
        <v>Zara</v>
      </c>
      <c r="I246" s="2" t="s">
        <v>31</v>
      </c>
      <c r="J246" s="3">
        <v>7</v>
      </c>
      <c r="K246" s="2" t="s">
        <v>79</v>
      </c>
      <c r="L246" s="12">
        <f>VLOOKUP(Shoe_Sales[[#This Row],[Product Cleaned]],Price!$A$2:$C$9,2,FALSE)</f>
        <v>76</v>
      </c>
      <c r="M246" s="12">
        <f>VLOOKUP(Shoe_Sales[[#This Row],[Product Cleaned]],Price!$A$2:$C$9,3,0)</f>
        <v>39</v>
      </c>
      <c r="N246" s="12">
        <f>(Shoe_Sales[[#This Row],[Quantity]]*Shoe_Sales[[#This Row],[Selling Price]])</f>
        <v>532</v>
      </c>
      <c r="O246" s="12">
        <f>(Shoe_Sales[[#This Row],[Quantity]]*Shoe_Sales[[#This Row],[Cost Price]])</f>
        <v>273</v>
      </c>
      <c r="P246" s="12">
        <f>(Shoe_Sales[[#This Row],[Revenue]]-Shoe_Sales[[#This Row],[Cost]])</f>
        <v>259</v>
      </c>
      <c r="Q246" s="15">
        <f>(Shoe_Sales[[#This Row],[Profit]]/Shoe_Sales[[#This Row],[Revenue]])</f>
        <v>0.48684210526315791</v>
      </c>
    </row>
    <row r="247" spans="1:17" x14ac:dyDescent="0.25">
      <c r="A247" s="9">
        <v>46244</v>
      </c>
      <c r="B247" s="4" t="s">
        <v>32</v>
      </c>
      <c r="C247" s="2" t="str">
        <f t="shared" si="6"/>
        <v>Oxford</v>
      </c>
      <c r="D247" s="4" t="s">
        <v>48</v>
      </c>
      <c r="E247" s="2" t="str">
        <f t="shared" si="7"/>
        <v>Open</v>
      </c>
      <c r="F247" s="4" t="s">
        <v>29</v>
      </c>
      <c r="G247" s="4" t="s">
        <v>49</v>
      </c>
      <c r="H247" s="4" t="str">
        <f>PROPER(Shoe_Sales[[#This Row],[Brand]])</f>
        <v>Nike</v>
      </c>
      <c r="I247" s="4" t="s">
        <v>21</v>
      </c>
      <c r="J247" s="5">
        <v>9</v>
      </c>
      <c r="K247" s="4" t="s">
        <v>79</v>
      </c>
      <c r="L247" s="12">
        <f>VLOOKUP(Shoe_Sales[[#This Row],[Product Cleaned]],Price!$A$2:$C$9,2,FALSE)</f>
        <v>105</v>
      </c>
      <c r="M247" s="12">
        <f>VLOOKUP(Shoe_Sales[[#This Row],[Product Cleaned]],Price!$A$2:$C$9,3,0)</f>
        <v>58</v>
      </c>
      <c r="N247" s="12">
        <f>(Shoe_Sales[[#This Row],[Quantity]]*Shoe_Sales[[#This Row],[Selling Price]])</f>
        <v>945</v>
      </c>
      <c r="O247" s="12">
        <f>(Shoe_Sales[[#This Row],[Quantity]]*Shoe_Sales[[#This Row],[Cost Price]])</f>
        <v>522</v>
      </c>
      <c r="P247" s="12">
        <f>(Shoe_Sales[[#This Row],[Revenue]]-Shoe_Sales[[#This Row],[Cost]])</f>
        <v>423</v>
      </c>
      <c r="Q247" s="15">
        <f>(Shoe_Sales[[#This Row],[Profit]]/Shoe_Sales[[#This Row],[Revenue]])</f>
        <v>0.44761904761904764</v>
      </c>
    </row>
    <row r="248" spans="1:17" x14ac:dyDescent="0.25">
      <c r="A248" s="8">
        <v>46122</v>
      </c>
      <c r="B248" s="2" t="s">
        <v>42</v>
      </c>
      <c r="C248" s="2" t="str">
        <f t="shared" si="6"/>
        <v>Derby</v>
      </c>
      <c r="D248" s="2" t="s">
        <v>56</v>
      </c>
      <c r="E248" s="2" t="str">
        <f t="shared" si="7"/>
        <v>Utility</v>
      </c>
      <c r="F248" s="2" t="s">
        <v>14</v>
      </c>
      <c r="G248" s="2" t="s">
        <v>15</v>
      </c>
      <c r="H248" s="2" t="str">
        <f>PROPER(Shoe_Sales[[#This Row],[Brand]])</f>
        <v>Steve Madden</v>
      </c>
      <c r="I248" s="2" t="s">
        <v>54</v>
      </c>
      <c r="J248" s="3">
        <v>3</v>
      </c>
      <c r="K248" s="2" t="s">
        <v>79</v>
      </c>
      <c r="L248" s="12">
        <f>VLOOKUP(Shoe_Sales[[#This Row],[Product Cleaned]],Price!$A$2:$C$9,2,FALSE)</f>
        <v>32</v>
      </c>
      <c r="M248" s="12">
        <f>VLOOKUP(Shoe_Sales[[#This Row],[Product Cleaned]],Price!$A$2:$C$9,3,0)</f>
        <v>14</v>
      </c>
      <c r="N248" s="12">
        <f>(Shoe_Sales[[#This Row],[Quantity]]*Shoe_Sales[[#This Row],[Selling Price]])</f>
        <v>96</v>
      </c>
      <c r="O248" s="12">
        <f>(Shoe_Sales[[#This Row],[Quantity]]*Shoe_Sales[[#This Row],[Cost Price]])</f>
        <v>42</v>
      </c>
      <c r="P248" s="12">
        <f>(Shoe_Sales[[#This Row],[Revenue]]-Shoe_Sales[[#This Row],[Cost]])</f>
        <v>54</v>
      </c>
      <c r="Q248" s="15">
        <f>(Shoe_Sales[[#This Row],[Profit]]/Shoe_Sales[[#This Row],[Revenue]])</f>
        <v>0.5625</v>
      </c>
    </row>
    <row r="249" spans="1:17" x14ac:dyDescent="0.25">
      <c r="A249" s="9">
        <v>46180</v>
      </c>
      <c r="B249" s="4" t="s">
        <v>38</v>
      </c>
      <c r="C249" s="2" t="str">
        <f t="shared" si="6"/>
        <v>Monk Straps</v>
      </c>
      <c r="D249" s="4" t="s">
        <v>68</v>
      </c>
      <c r="E249" s="2" t="str">
        <f t="shared" si="7"/>
        <v>Open</v>
      </c>
      <c r="F249" s="4" t="s">
        <v>29</v>
      </c>
      <c r="G249" s="4" t="s">
        <v>57</v>
      </c>
      <c r="H249" s="4" t="str">
        <f>PROPER(Shoe_Sales[[#This Row],[Brand]])</f>
        <v>Timberland</v>
      </c>
      <c r="I249" s="4" t="s">
        <v>26</v>
      </c>
      <c r="J249" s="5">
        <v>11</v>
      </c>
      <c r="K249" s="4" t="s">
        <v>82</v>
      </c>
      <c r="L249" s="12">
        <f>VLOOKUP(Shoe_Sales[[#This Row],[Product Cleaned]],Price!$A$2:$C$9,2,FALSE)</f>
        <v>89</v>
      </c>
      <c r="M249" s="12">
        <f>VLOOKUP(Shoe_Sales[[#This Row],[Product Cleaned]],Price!$A$2:$C$9,3,0)</f>
        <v>47</v>
      </c>
      <c r="N249" s="12">
        <f>(Shoe_Sales[[#This Row],[Quantity]]*Shoe_Sales[[#This Row],[Selling Price]])</f>
        <v>979</v>
      </c>
      <c r="O249" s="12">
        <f>(Shoe_Sales[[#This Row],[Quantity]]*Shoe_Sales[[#This Row],[Cost Price]])</f>
        <v>517</v>
      </c>
      <c r="P249" s="12">
        <f>(Shoe_Sales[[#This Row],[Revenue]]-Shoe_Sales[[#This Row],[Cost]])</f>
        <v>462</v>
      </c>
      <c r="Q249" s="15">
        <f>(Shoe_Sales[[#This Row],[Profit]]/Shoe_Sales[[#This Row],[Revenue]])</f>
        <v>0.47191011235955055</v>
      </c>
    </row>
    <row r="250" spans="1:17" x14ac:dyDescent="0.25">
      <c r="A250" s="8">
        <v>46200</v>
      </c>
      <c r="B250" s="2" t="s">
        <v>12</v>
      </c>
      <c r="C250" s="2" t="str">
        <f t="shared" si="6"/>
        <v>Canvas</v>
      </c>
      <c r="D250" s="2" t="s">
        <v>13</v>
      </c>
      <c r="E250" s="2" t="str">
        <f t="shared" si="7"/>
        <v>Casual</v>
      </c>
      <c r="F250" s="2" t="s">
        <v>29</v>
      </c>
      <c r="G250" s="2" t="s">
        <v>10</v>
      </c>
      <c r="H250" s="2" t="str">
        <f>PROPER(Shoe_Sales[[#This Row],[Brand]])</f>
        <v>Clarks</v>
      </c>
      <c r="I250" s="2" t="s">
        <v>37</v>
      </c>
      <c r="J250" s="3">
        <v>15</v>
      </c>
      <c r="K250" s="2" t="s">
        <v>81</v>
      </c>
      <c r="L250" s="12">
        <f>VLOOKUP(Shoe_Sales[[#This Row],[Product Cleaned]],Price!$A$2:$C$9,2,FALSE)</f>
        <v>128</v>
      </c>
      <c r="M250" s="12">
        <f>VLOOKUP(Shoe_Sales[[#This Row],[Product Cleaned]],Price!$A$2:$C$9,3,0)</f>
        <v>72</v>
      </c>
      <c r="N250" s="12">
        <f>(Shoe_Sales[[#This Row],[Quantity]]*Shoe_Sales[[#This Row],[Selling Price]])</f>
        <v>1920</v>
      </c>
      <c r="O250" s="12">
        <f>(Shoe_Sales[[#This Row],[Quantity]]*Shoe_Sales[[#This Row],[Cost Price]])</f>
        <v>1080</v>
      </c>
      <c r="P250" s="12">
        <f>(Shoe_Sales[[#This Row],[Revenue]]-Shoe_Sales[[#This Row],[Cost]])</f>
        <v>840</v>
      </c>
      <c r="Q250" s="15">
        <f>(Shoe_Sales[[#This Row],[Profit]]/Shoe_Sales[[#This Row],[Revenue]])</f>
        <v>0.4375</v>
      </c>
    </row>
    <row r="251" spans="1:17" x14ac:dyDescent="0.25">
      <c r="A251" s="9">
        <v>46167</v>
      </c>
      <c r="B251" s="4" t="s">
        <v>63</v>
      </c>
      <c r="C251" s="2" t="str">
        <f t="shared" si="6"/>
        <v>Monk Straps</v>
      </c>
      <c r="D251" s="4" t="s">
        <v>33</v>
      </c>
      <c r="E251" s="2" t="str">
        <f t="shared" si="7"/>
        <v>Formal</v>
      </c>
      <c r="F251" s="4" t="s">
        <v>29</v>
      </c>
      <c r="G251" s="4" t="s">
        <v>25</v>
      </c>
      <c r="H251" s="4" t="str">
        <f>PROPER(Shoe_Sales[[#This Row],[Brand]])</f>
        <v>Zara</v>
      </c>
      <c r="I251" s="4" t="s">
        <v>26</v>
      </c>
      <c r="J251" s="5">
        <v>9</v>
      </c>
      <c r="K251" s="4" t="s">
        <v>80</v>
      </c>
      <c r="L251" s="12">
        <f>VLOOKUP(Shoe_Sales[[#This Row],[Product Cleaned]],Price!$A$2:$C$9,2,FALSE)</f>
        <v>89</v>
      </c>
      <c r="M251" s="12">
        <f>VLOOKUP(Shoe_Sales[[#This Row],[Product Cleaned]],Price!$A$2:$C$9,3,0)</f>
        <v>47</v>
      </c>
      <c r="N251" s="12">
        <f>(Shoe_Sales[[#This Row],[Quantity]]*Shoe_Sales[[#This Row],[Selling Price]])</f>
        <v>801</v>
      </c>
      <c r="O251" s="12">
        <f>(Shoe_Sales[[#This Row],[Quantity]]*Shoe_Sales[[#This Row],[Cost Price]])</f>
        <v>423</v>
      </c>
      <c r="P251" s="12">
        <f>(Shoe_Sales[[#This Row],[Revenue]]-Shoe_Sales[[#This Row],[Cost]])</f>
        <v>378</v>
      </c>
      <c r="Q251" s="15">
        <f>(Shoe_Sales[[#This Row],[Profit]]/Shoe_Sales[[#This Row],[Revenue]])</f>
        <v>0.47191011235955055</v>
      </c>
    </row>
    <row r="252" spans="1:17" x14ac:dyDescent="0.25">
      <c r="A252" s="8">
        <v>46236</v>
      </c>
      <c r="B252" s="2" t="s">
        <v>76</v>
      </c>
      <c r="C252" s="2" t="str">
        <f t="shared" si="6"/>
        <v>Monk Straps</v>
      </c>
      <c r="D252" s="2" t="s">
        <v>33</v>
      </c>
      <c r="E252" s="2" t="str">
        <f t="shared" si="7"/>
        <v>Formal</v>
      </c>
      <c r="F252" s="2" t="s">
        <v>19</v>
      </c>
      <c r="G252" s="2" t="s">
        <v>45</v>
      </c>
      <c r="H252" s="2" t="str">
        <f>PROPER(Shoe_Sales[[#This Row],[Brand]])</f>
        <v>Steve Madden</v>
      </c>
      <c r="I252" s="2" t="s">
        <v>31</v>
      </c>
      <c r="J252" s="3">
        <v>1</v>
      </c>
      <c r="K252" s="2" t="s">
        <v>82</v>
      </c>
      <c r="L252" s="12">
        <f>VLOOKUP(Shoe_Sales[[#This Row],[Product Cleaned]],Price!$A$2:$C$9,2,FALSE)</f>
        <v>89</v>
      </c>
      <c r="M252" s="12">
        <f>VLOOKUP(Shoe_Sales[[#This Row],[Product Cleaned]],Price!$A$2:$C$9,3,0)</f>
        <v>47</v>
      </c>
      <c r="N252" s="12">
        <f>(Shoe_Sales[[#This Row],[Quantity]]*Shoe_Sales[[#This Row],[Selling Price]])</f>
        <v>89</v>
      </c>
      <c r="O252" s="12">
        <f>(Shoe_Sales[[#This Row],[Quantity]]*Shoe_Sales[[#This Row],[Cost Price]])</f>
        <v>47</v>
      </c>
      <c r="P252" s="12">
        <f>(Shoe_Sales[[#This Row],[Revenue]]-Shoe_Sales[[#This Row],[Cost]])</f>
        <v>42</v>
      </c>
      <c r="Q252" s="15">
        <f>(Shoe_Sales[[#This Row],[Profit]]/Shoe_Sales[[#This Row],[Revenue]])</f>
        <v>0.47191011235955055</v>
      </c>
    </row>
    <row r="253" spans="1:17" x14ac:dyDescent="0.25">
      <c r="A253" s="9">
        <v>46152</v>
      </c>
      <c r="B253" s="4" t="s">
        <v>12</v>
      </c>
      <c r="C253" s="2" t="str">
        <f t="shared" si="6"/>
        <v>Canvas</v>
      </c>
      <c r="D253" s="4" t="s">
        <v>39</v>
      </c>
      <c r="E253" s="2" t="str">
        <f t="shared" si="7"/>
        <v>Formal</v>
      </c>
      <c r="F253" s="4" t="s">
        <v>24</v>
      </c>
      <c r="G253" s="4" t="s">
        <v>69</v>
      </c>
      <c r="H253" s="4" t="str">
        <f>PROPER(Shoe_Sales[[#This Row],[Brand]])</f>
        <v>Nike</v>
      </c>
      <c r="I253" s="4" t="s">
        <v>37</v>
      </c>
      <c r="J253" s="5">
        <v>1</v>
      </c>
      <c r="K253" s="4" t="s">
        <v>79</v>
      </c>
      <c r="L253" s="12">
        <f>VLOOKUP(Shoe_Sales[[#This Row],[Product Cleaned]],Price!$A$2:$C$9,2,FALSE)</f>
        <v>128</v>
      </c>
      <c r="M253" s="12">
        <f>VLOOKUP(Shoe_Sales[[#This Row],[Product Cleaned]],Price!$A$2:$C$9,3,0)</f>
        <v>72</v>
      </c>
      <c r="N253" s="12">
        <f>(Shoe_Sales[[#This Row],[Quantity]]*Shoe_Sales[[#This Row],[Selling Price]])</f>
        <v>128</v>
      </c>
      <c r="O253" s="12">
        <f>(Shoe_Sales[[#This Row],[Quantity]]*Shoe_Sales[[#This Row],[Cost Price]])</f>
        <v>72</v>
      </c>
      <c r="P253" s="12">
        <f>(Shoe_Sales[[#This Row],[Revenue]]-Shoe_Sales[[#This Row],[Cost]])</f>
        <v>56</v>
      </c>
      <c r="Q253" s="15">
        <f>(Shoe_Sales[[#This Row],[Profit]]/Shoe_Sales[[#This Row],[Revenue]])</f>
        <v>0.4375</v>
      </c>
    </row>
    <row r="254" spans="1:17" x14ac:dyDescent="0.25">
      <c r="A254" s="8">
        <v>46071</v>
      </c>
      <c r="B254" s="2" t="s">
        <v>59</v>
      </c>
      <c r="C254" s="2" t="str">
        <f t="shared" si="6"/>
        <v>Oxford</v>
      </c>
      <c r="D254" s="2" t="s">
        <v>56</v>
      </c>
      <c r="E254" s="2" t="str">
        <f t="shared" si="7"/>
        <v>Utility</v>
      </c>
      <c r="F254" s="2" t="s">
        <v>14</v>
      </c>
      <c r="G254" s="2" t="s">
        <v>45</v>
      </c>
      <c r="H254" s="2" t="str">
        <f>PROPER(Shoe_Sales[[#This Row],[Brand]])</f>
        <v>Steve Madden</v>
      </c>
      <c r="I254" s="2" t="s">
        <v>58</v>
      </c>
      <c r="J254" s="3">
        <v>7</v>
      </c>
      <c r="K254" s="2" t="s">
        <v>81</v>
      </c>
      <c r="L254" s="12">
        <f>VLOOKUP(Shoe_Sales[[#This Row],[Product Cleaned]],Price!$A$2:$C$9,2,FALSE)</f>
        <v>105</v>
      </c>
      <c r="M254" s="12">
        <f>VLOOKUP(Shoe_Sales[[#This Row],[Product Cleaned]],Price!$A$2:$C$9,3,0)</f>
        <v>58</v>
      </c>
      <c r="N254" s="12">
        <f>(Shoe_Sales[[#This Row],[Quantity]]*Shoe_Sales[[#This Row],[Selling Price]])</f>
        <v>735</v>
      </c>
      <c r="O254" s="12">
        <f>(Shoe_Sales[[#This Row],[Quantity]]*Shoe_Sales[[#This Row],[Cost Price]])</f>
        <v>406</v>
      </c>
      <c r="P254" s="12">
        <f>(Shoe_Sales[[#This Row],[Revenue]]-Shoe_Sales[[#This Row],[Cost]])</f>
        <v>329</v>
      </c>
      <c r="Q254" s="15">
        <f>(Shoe_Sales[[#This Row],[Profit]]/Shoe_Sales[[#This Row],[Revenue]])</f>
        <v>0.44761904761904764</v>
      </c>
    </row>
    <row r="255" spans="1:17" x14ac:dyDescent="0.25">
      <c r="A255" s="9">
        <v>46126</v>
      </c>
      <c r="B255" s="4" t="s">
        <v>76</v>
      </c>
      <c r="C255" s="2" t="str">
        <f t="shared" si="6"/>
        <v>Monk Straps</v>
      </c>
      <c r="D255" s="4" t="s">
        <v>8</v>
      </c>
      <c r="E255" s="2" t="str">
        <f t="shared" si="7"/>
        <v>Formal</v>
      </c>
      <c r="F255" s="4" t="s">
        <v>24</v>
      </c>
      <c r="G255" s="4" t="s">
        <v>10</v>
      </c>
      <c r="H255" s="4" t="str">
        <f>PROPER(Shoe_Sales[[#This Row],[Brand]])</f>
        <v>Clarks</v>
      </c>
      <c r="I255" s="4" t="s">
        <v>16</v>
      </c>
      <c r="J255" s="5">
        <v>13</v>
      </c>
      <c r="K255" s="4" t="s">
        <v>80</v>
      </c>
      <c r="L255" s="12">
        <f>VLOOKUP(Shoe_Sales[[#This Row],[Product Cleaned]],Price!$A$2:$C$9,2,FALSE)</f>
        <v>89</v>
      </c>
      <c r="M255" s="12">
        <f>VLOOKUP(Shoe_Sales[[#This Row],[Product Cleaned]],Price!$A$2:$C$9,3,0)</f>
        <v>47</v>
      </c>
      <c r="N255" s="12">
        <f>(Shoe_Sales[[#This Row],[Quantity]]*Shoe_Sales[[#This Row],[Selling Price]])</f>
        <v>1157</v>
      </c>
      <c r="O255" s="12">
        <f>(Shoe_Sales[[#This Row],[Quantity]]*Shoe_Sales[[#This Row],[Cost Price]])</f>
        <v>611</v>
      </c>
      <c r="P255" s="12">
        <f>(Shoe_Sales[[#This Row],[Revenue]]-Shoe_Sales[[#This Row],[Cost]])</f>
        <v>546</v>
      </c>
      <c r="Q255" s="15">
        <f>(Shoe_Sales[[#This Row],[Profit]]/Shoe_Sales[[#This Row],[Revenue]])</f>
        <v>0.47191011235955055</v>
      </c>
    </row>
    <row r="256" spans="1:17" x14ac:dyDescent="0.25">
      <c r="A256" s="8">
        <v>46069</v>
      </c>
      <c r="B256" s="2" t="s">
        <v>32</v>
      </c>
      <c r="C256" s="2" t="str">
        <f t="shared" si="6"/>
        <v>Oxford</v>
      </c>
      <c r="D256" s="2" t="s">
        <v>8</v>
      </c>
      <c r="E256" s="2" t="str">
        <f t="shared" si="7"/>
        <v>Formal</v>
      </c>
      <c r="F256" s="2" t="s">
        <v>24</v>
      </c>
      <c r="G256" s="2" t="s">
        <v>34</v>
      </c>
      <c r="H256" s="2" t="str">
        <f>PROPER(Shoe_Sales[[#This Row],[Brand]])</f>
        <v>Clarks</v>
      </c>
      <c r="I256" s="2" t="s">
        <v>21</v>
      </c>
      <c r="J256" s="3">
        <v>15</v>
      </c>
      <c r="K256" s="2" t="s">
        <v>80</v>
      </c>
      <c r="L256" s="12">
        <f>VLOOKUP(Shoe_Sales[[#This Row],[Product Cleaned]],Price!$A$2:$C$9,2,FALSE)</f>
        <v>105</v>
      </c>
      <c r="M256" s="12">
        <f>VLOOKUP(Shoe_Sales[[#This Row],[Product Cleaned]],Price!$A$2:$C$9,3,0)</f>
        <v>58</v>
      </c>
      <c r="N256" s="12">
        <f>(Shoe_Sales[[#This Row],[Quantity]]*Shoe_Sales[[#This Row],[Selling Price]])</f>
        <v>1575</v>
      </c>
      <c r="O256" s="12">
        <f>(Shoe_Sales[[#This Row],[Quantity]]*Shoe_Sales[[#This Row],[Cost Price]])</f>
        <v>870</v>
      </c>
      <c r="P256" s="12">
        <f>(Shoe_Sales[[#This Row],[Revenue]]-Shoe_Sales[[#This Row],[Cost]])</f>
        <v>705</v>
      </c>
      <c r="Q256" s="15">
        <f>(Shoe_Sales[[#This Row],[Profit]]/Shoe_Sales[[#This Row],[Revenue]])</f>
        <v>0.44761904761904764</v>
      </c>
    </row>
    <row r="257" spans="1:17" x14ac:dyDescent="0.25">
      <c r="A257" s="9">
        <v>46091</v>
      </c>
      <c r="B257" s="4" t="s">
        <v>32</v>
      </c>
      <c r="C257" s="2" t="str">
        <f t="shared" si="6"/>
        <v>Oxford</v>
      </c>
      <c r="D257" s="4" t="s">
        <v>39</v>
      </c>
      <c r="E257" s="2" t="str">
        <f t="shared" si="7"/>
        <v>Formal</v>
      </c>
      <c r="F257" s="4" t="s">
        <v>14</v>
      </c>
      <c r="G257" s="4" t="s">
        <v>53</v>
      </c>
      <c r="H257" s="4" t="str">
        <f>PROPER(Shoe_Sales[[#This Row],[Brand]])</f>
        <v>Zara</v>
      </c>
      <c r="I257" s="4" t="s">
        <v>54</v>
      </c>
      <c r="J257" s="5">
        <v>9</v>
      </c>
      <c r="K257" s="4" t="s">
        <v>82</v>
      </c>
      <c r="L257" s="12">
        <f>VLOOKUP(Shoe_Sales[[#This Row],[Product Cleaned]],Price!$A$2:$C$9,2,FALSE)</f>
        <v>105</v>
      </c>
      <c r="M257" s="12">
        <f>VLOOKUP(Shoe_Sales[[#This Row],[Product Cleaned]],Price!$A$2:$C$9,3,0)</f>
        <v>58</v>
      </c>
      <c r="N257" s="12">
        <f>(Shoe_Sales[[#This Row],[Quantity]]*Shoe_Sales[[#This Row],[Selling Price]])</f>
        <v>945</v>
      </c>
      <c r="O257" s="12">
        <f>(Shoe_Sales[[#This Row],[Quantity]]*Shoe_Sales[[#This Row],[Cost Price]])</f>
        <v>522</v>
      </c>
      <c r="P257" s="12">
        <f>(Shoe_Sales[[#This Row],[Revenue]]-Shoe_Sales[[#This Row],[Cost]])</f>
        <v>423</v>
      </c>
      <c r="Q257" s="15">
        <f>(Shoe_Sales[[#This Row],[Profit]]/Shoe_Sales[[#This Row],[Revenue]])</f>
        <v>0.44761904761904764</v>
      </c>
    </row>
    <row r="258" spans="1:17" x14ac:dyDescent="0.25">
      <c r="A258" s="8">
        <v>46060</v>
      </c>
      <c r="B258" s="2" t="s">
        <v>63</v>
      </c>
      <c r="C258" s="2" t="str">
        <f t="shared" ref="C258:C321" si="8">TRIM(PROPER(B258))</f>
        <v>Monk Straps</v>
      </c>
      <c r="D258" s="2" t="s">
        <v>56</v>
      </c>
      <c r="E258" s="2" t="str">
        <f t="shared" si="7"/>
        <v>Utility</v>
      </c>
      <c r="F258" s="2" t="s">
        <v>24</v>
      </c>
      <c r="G258" s="2" t="s">
        <v>60</v>
      </c>
      <c r="H258" s="2" t="str">
        <f>PROPER(Shoe_Sales[[#This Row],[Brand]])</f>
        <v>Clarks</v>
      </c>
      <c r="I258" s="2" t="s">
        <v>50</v>
      </c>
      <c r="J258" s="3">
        <v>15</v>
      </c>
      <c r="K258" s="2" t="s">
        <v>81</v>
      </c>
      <c r="L258" s="12">
        <f>VLOOKUP(Shoe_Sales[[#This Row],[Product Cleaned]],Price!$A$2:$C$9,2,FALSE)</f>
        <v>89</v>
      </c>
      <c r="M258" s="12">
        <f>VLOOKUP(Shoe_Sales[[#This Row],[Product Cleaned]],Price!$A$2:$C$9,3,0)</f>
        <v>47</v>
      </c>
      <c r="N258" s="12">
        <f>(Shoe_Sales[[#This Row],[Quantity]]*Shoe_Sales[[#This Row],[Selling Price]])</f>
        <v>1335</v>
      </c>
      <c r="O258" s="12">
        <f>(Shoe_Sales[[#This Row],[Quantity]]*Shoe_Sales[[#This Row],[Cost Price]])</f>
        <v>705</v>
      </c>
      <c r="P258" s="12">
        <f>(Shoe_Sales[[#This Row],[Revenue]]-Shoe_Sales[[#This Row],[Cost]])</f>
        <v>630</v>
      </c>
      <c r="Q258" s="15">
        <f>(Shoe_Sales[[#This Row],[Profit]]/Shoe_Sales[[#This Row],[Revenue]])</f>
        <v>0.47191011235955055</v>
      </c>
    </row>
    <row r="259" spans="1:17" x14ac:dyDescent="0.25">
      <c r="A259" s="9">
        <v>46053</v>
      </c>
      <c r="B259" s="4" t="s">
        <v>42</v>
      </c>
      <c r="C259" s="2" t="str">
        <f t="shared" si="8"/>
        <v>Derby</v>
      </c>
      <c r="D259" s="4" t="s">
        <v>33</v>
      </c>
      <c r="E259" s="2" t="str">
        <f t="shared" ref="E259:E322" si="9">PROPER(D259)</f>
        <v>Formal</v>
      </c>
      <c r="F259" s="4" t="s">
        <v>29</v>
      </c>
      <c r="G259" s="4" t="s">
        <v>40</v>
      </c>
      <c r="H259" s="4" t="str">
        <f>PROPER(Shoe_Sales[[#This Row],[Brand]])</f>
        <v>Zara</v>
      </c>
      <c r="I259" s="4" t="s">
        <v>43</v>
      </c>
      <c r="J259" s="5">
        <v>15</v>
      </c>
      <c r="K259" s="4" t="s">
        <v>79</v>
      </c>
      <c r="L259" s="12">
        <f>VLOOKUP(Shoe_Sales[[#This Row],[Product Cleaned]],Price!$A$2:$C$9,2,FALSE)</f>
        <v>32</v>
      </c>
      <c r="M259" s="12">
        <f>VLOOKUP(Shoe_Sales[[#This Row],[Product Cleaned]],Price!$A$2:$C$9,3,0)</f>
        <v>14</v>
      </c>
      <c r="N259" s="12">
        <f>(Shoe_Sales[[#This Row],[Quantity]]*Shoe_Sales[[#This Row],[Selling Price]])</f>
        <v>480</v>
      </c>
      <c r="O259" s="12">
        <f>(Shoe_Sales[[#This Row],[Quantity]]*Shoe_Sales[[#This Row],[Cost Price]])</f>
        <v>210</v>
      </c>
      <c r="P259" s="12">
        <f>(Shoe_Sales[[#This Row],[Revenue]]-Shoe_Sales[[#This Row],[Cost]])</f>
        <v>270</v>
      </c>
      <c r="Q259" s="15">
        <f>(Shoe_Sales[[#This Row],[Profit]]/Shoe_Sales[[#This Row],[Revenue]])</f>
        <v>0.5625</v>
      </c>
    </row>
    <row r="260" spans="1:17" x14ac:dyDescent="0.25">
      <c r="A260" s="8">
        <v>46098</v>
      </c>
      <c r="B260" s="2" t="s">
        <v>17</v>
      </c>
      <c r="C260" s="2" t="str">
        <f t="shared" si="8"/>
        <v>Slippers</v>
      </c>
      <c r="D260" s="2" t="s">
        <v>8</v>
      </c>
      <c r="E260" s="2" t="str">
        <f t="shared" si="9"/>
        <v>Formal</v>
      </c>
      <c r="F260" s="2" t="s">
        <v>24</v>
      </c>
      <c r="G260" s="2" t="s">
        <v>25</v>
      </c>
      <c r="H260" s="2" t="str">
        <f>PROPER(Shoe_Sales[[#This Row],[Brand]])</f>
        <v>Zara</v>
      </c>
      <c r="I260" s="2" t="s">
        <v>37</v>
      </c>
      <c r="J260" s="3">
        <v>13</v>
      </c>
      <c r="K260" s="2" t="s">
        <v>82</v>
      </c>
      <c r="L260" s="12">
        <f>VLOOKUP(Shoe_Sales[[#This Row],[Product Cleaned]],Price!$A$2:$C$9,2,FALSE)</f>
        <v>119</v>
      </c>
      <c r="M260" s="12">
        <f>VLOOKUP(Shoe_Sales[[#This Row],[Product Cleaned]],Price!$A$2:$C$9,3,0)</f>
        <v>67</v>
      </c>
      <c r="N260" s="12">
        <f>(Shoe_Sales[[#This Row],[Quantity]]*Shoe_Sales[[#This Row],[Selling Price]])</f>
        <v>1547</v>
      </c>
      <c r="O260" s="12">
        <f>(Shoe_Sales[[#This Row],[Quantity]]*Shoe_Sales[[#This Row],[Cost Price]])</f>
        <v>871</v>
      </c>
      <c r="P260" s="12">
        <f>(Shoe_Sales[[#This Row],[Revenue]]-Shoe_Sales[[#This Row],[Cost]])</f>
        <v>676</v>
      </c>
      <c r="Q260" s="15">
        <f>(Shoe_Sales[[#This Row],[Profit]]/Shoe_Sales[[#This Row],[Revenue]])</f>
        <v>0.43697478991596639</v>
      </c>
    </row>
    <row r="261" spans="1:17" x14ac:dyDescent="0.25">
      <c r="A261" s="9">
        <v>46077</v>
      </c>
      <c r="B261" s="4" t="s">
        <v>42</v>
      </c>
      <c r="C261" s="2" t="str">
        <f t="shared" si="8"/>
        <v>Derby</v>
      </c>
      <c r="D261" s="4" t="s">
        <v>18</v>
      </c>
      <c r="E261" s="2" t="str">
        <f t="shared" si="9"/>
        <v>Open</v>
      </c>
      <c r="F261" s="4" t="s">
        <v>19</v>
      </c>
      <c r="G261" s="4" t="s">
        <v>10</v>
      </c>
      <c r="H261" s="4" t="str">
        <f>PROPER(Shoe_Sales[[#This Row],[Brand]])</f>
        <v>Clarks</v>
      </c>
      <c r="I261" s="4" t="s">
        <v>11</v>
      </c>
      <c r="J261" s="5">
        <v>6</v>
      </c>
      <c r="K261" s="4" t="s">
        <v>79</v>
      </c>
      <c r="L261" s="12">
        <f>VLOOKUP(Shoe_Sales[[#This Row],[Product Cleaned]],Price!$A$2:$C$9,2,FALSE)</f>
        <v>32</v>
      </c>
      <c r="M261" s="12">
        <f>VLOOKUP(Shoe_Sales[[#This Row],[Product Cleaned]],Price!$A$2:$C$9,3,0)</f>
        <v>14</v>
      </c>
      <c r="N261" s="12">
        <f>(Shoe_Sales[[#This Row],[Quantity]]*Shoe_Sales[[#This Row],[Selling Price]])</f>
        <v>192</v>
      </c>
      <c r="O261" s="12">
        <f>(Shoe_Sales[[#This Row],[Quantity]]*Shoe_Sales[[#This Row],[Cost Price]])</f>
        <v>84</v>
      </c>
      <c r="P261" s="12">
        <f>(Shoe_Sales[[#This Row],[Revenue]]-Shoe_Sales[[#This Row],[Cost]])</f>
        <v>108</v>
      </c>
      <c r="Q261" s="15">
        <f>(Shoe_Sales[[#This Row],[Profit]]/Shoe_Sales[[#This Row],[Revenue]])</f>
        <v>0.5625</v>
      </c>
    </row>
    <row r="262" spans="1:17" x14ac:dyDescent="0.25">
      <c r="A262" s="8">
        <v>46041</v>
      </c>
      <c r="B262" s="2" t="s">
        <v>38</v>
      </c>
      <c r="C262" s="2" t="str">
        <f t="shared" si="8"/>
        <v>Monk Straps</v>
      </c>
      <c r="D262" s="2" t="s">
        <v>18</v>
      </c>
      <c r="E262" s="2" t="str">
        <f t="shared" si="9"/>
        <v>Open</v>
      </c>
      <c r="F262" s="2" t="s">
        <v>14</v>
      </c>
      <c r="G262" s="2" t="s">
        <v>57</v>
      </c>
      <c r="H262" s="2" t="str">
        <f>PROPER(Shoe_Sales[[#This Row],[Brand]])</f>
        <v>Timberland</v>
      </c>
      <c r="I262" s="2" t="s">
        <v>31</v>
      </c>
      <c r="J262" s="3">
        <v>6</v>
      </c>
      <c r="K262" s="2" t="s">
        <v>82</v>
      </c>
      <c r="L262" s="12">
        <f>VLOOKUP(Shoe_Sales[[#This Row],[Product Cleaned]],Price!$A$2:$C$9,2,FALSE)</f>
        <v>89</v>
      </c>
      <c r="M262" s="12">
        <f>VLOOKUP(Shoe_Sales[[#This Row],[Product Cleaned]],Price!$A$2:$C$9,3,0)</f>
        <v>47</v>
      </c>
      <c r="N262" s="12">
        <f>(Shoe_Sales[[#This Row],[Quantity]]*Shoe_Sales[[#This Row],[Selling Price]])</f>
        <v>534</v>
      </c>
      <c r="O262" s="12">
        <f>(Shoe_Sales[[#This Row],[Quantity]]*Shoe_Sales[[#This Row],[Cost Price]])</f>
        <v>282</v>
      </c>
      <c r="P262" s="12">
        <f>(Shoe_Sales[[#This Row],[Revenue]]-Shoe_Sales[[#This Row],[Cost]])</f>
        <v>252</v>
      </c>
      <c r="Q262" s="15">
        <f>(Shoe_Sales[[#This Row],[Profit]]/Shoe_Sales[[#This Row],[Revenue]])</f>
        <v>0.47191011235955055</v>
      </c>
    </row>
    <row r="263" spans="1:17" x14ac:dyDescent="0.25">
      <c r="A263" s="9">
        <v>46189</v>
      </c>
      <c r="B263" s="4" t="s">
        <v>27</v>
      </c>
      <c r="C263" s="2" t="str">
        <f t="shared" si="8"/>
        <v>Boots</v>
      </c>
      <c r="D263" s="4" t="s">
        <v>33</v>
      </c>
      <c r="E263" s="2" t="str">
        <f t="shared" si="9"/>
        <v>Formal</v>
      </c>
      <c r="F263" s="4" t="s">
        <v>19</v>
      </c>
      <c r="G263" s="4" t="s">
        <v>60</v>
      </c>
      <c r="H263" s="4" t="str">
        <f>PROPER(Shoe_Sales[[#This Row],[Brand]])</f>
        <v>Clarks</v>
      </c>
      <c r="I263" s="4" t="s">
        <v>46</v>
      </c>
      <c r="J263" s="5">
        <v>10</v>
      </c>
      <c r="K263" s="4" t="s">
        <v>80</v>
      </c>
      <c r="L263" s="12">
        <f>VLOOKUP(Shoe_Sales[[#This Row],[Product Cleaned]],Price!$A$2:$C$9,2,FALSE)</f>
        <v>76</v>
      </c>
      <c r="M263" s="12">
        <f>VLOOKUP(Shoe_Sales[[#This Row],[Product Cleaned]],Price!$A$2:$C$9,3,0)</f>
        <v>39</v>
      </c>
      <c r="N263" s="12">
        <f>(Shoe_Sales[[#This Row],[Quantity]]*Shoe_Sales[[#This Row],[Selling Price]])</f>
        <v>760</v>
      </c>
      <c r="O263" s="12">
        <f>(Shoe_Sales[[#This Row],[Quantity]]*Shoe_Sales[[#This Row],[Cost Price]])</f>
        <v>390</v>
      </c>
      <c r="P263" s="12">
        <f>(Shoe_Sales[[#This Row],[Revenue]]-Shoe_Sales[[#This Row],[Cost]])</f>
        <v>370</v>
      </c>
      <c r="Q263" s="15">
        <f>(Shoe_Sales[[#This Row],[Profit]]/Shoe_Sales[[#This Row],[Revenue]])</f>
        <v>0.48684210526315791</v>
      </c>
    </row>
    <row r="264" spans="1:17" x14ac:dyDescent="0.25">
      <c r="A264" s="8">
        <v>46190</v>
      </c>
      <c r="B264" s="2" t="s">
        <v>64</v>
      </c>
      <c r="C264" s="2" t="str">
        <f t="shared" si="8"/>
        <v>Derby</v>
      </c>
      <c r="D264" s="2" t="s">
        <v>68</v>
      </c>
      <c r="E264" s="2" t="str">
        <f t="shared" si="9"/>
        <v>Open</v>
      </c>
      <c r="F264" s="2" t="s">
        <v>29</v>
      </c>
      <c r="G264" s="2" t="s">
        <v>34</v>
      </c>
      <c r="H264" s="2" t="str">
        <f>PROPER(Shoe_Sales[[#This Row],[Brand]])</f>
        <v>Clarks</v>
      </c>
      <c r="I264" s="2" t="s">
        <v>41</v>
      </c>
      <c r="J264" s="3">
        <v>4</v>
      </c>
      <c r="K264" s="2" t="s">
        <v>82</v>
      </c>
      <c r="L264" s="12">
        <f>VLOOKUP(Shoe_Sales[[#This Row],[Product Cleaned]],Price!$A$2:$C$9,2,FALSE)</f>
        <v>32</v>
      </c>
      <c r="M264" s="12">
        <f>VLOOKUP(Shoe_Sales[[#This Row],[Product Cleaned]],Price!$A$2:$C$9,3,0)</f>
        <v>14</v>
      </c>
      <c r="N264" s="12">
        <f>(Shoe_Sales[[#This Row],[Quantity]]*Shoe_Sales[[#This Row],[Selling Price]])</f>
        <v>128</v>
      </c>
      <c r="O264" s="12">
        <f>(Shoe_Sales[[#This Row],[Quantity]]*Shoe_Sales[[#This Row],[Cost Price]])</f>
        <v>56</v>
      </c>
      <c r="P264" s="12">
        <f>(Shoe_Sales[[#This Row],[Revenue]]-Shoe_Sales[[#This Row],[Cost]])</f>
        <v>72</v>
      </c>
      <c r="Q264" s="15">
        <f>(Shoe_Sales[[#This Row],[Profit]]/Shoe_Sales[[#This Row],[Revenue]])</f>
        <v>0.5625</v>
      </c>
    </row>
    <row r="265" spans="1:17" x14ac:dyDescent="0.25">
      <c r="A265" s="9">
        <v>46227</v>
      </c>
      <c r="B265" s="4" t="s">
        <v>42</v>
      </c>
      <c r="C265" s="2" t="str">
        <f t="shared" si="8"/>
        <v>Derby</v>
      </c>
      <c r="D265" s="4" t="s">
        <v>18</v>
      </c>
      <c r="E265" s="2" t="str">
        <f t="shared" si="9"/>
        <v>Open</v>
      </c>
      <c r="F265" s="4" t="s">
        <v>14</v>
      </c>
      <c r="G265" s="4" t="s">
        <v>69</v>
      </c>
      <c r="H265" s="4" t="str">
        <f>PROPER(Shoe_Sales[[#This Row],[Brand]])</f>
        <v>Nike</v>
      </c>
      <c r="I265" s="4" t="s">
        <v>43</v>
      </c>
      <c r="J265" s="5">
        <v>7</v>
      </c>
      <c r="K265" s="4" t="s">
        <v>82</v>
      </c>
      <c r="L265" s="12">
        <f>VLOOKUP(Shoe_Sales[[#This Row],[Product Cleaned]],Price!$A$2:$C$9,2,FALSE)</f>
        <v>32</v>
      </c>
      <c r="M265" s="12">
        <f>VLOOKUP(Shoe_Sales[[#This Row],[Product Cleaned]],Price!$A$2:$C$9,3,0)</f>
        <v>14</v>
      </c>
      <c r="N265" s="12">
        <f>(Shoe_Sales[[#This Row],[Quantity]]*Shoe_Sales[[#This Row],[Selling Price]])</f>
        <v>224</v>
      </c>
      <c r="O265" s="12">
        <f>(Shoe_Sales[[#This Row],[Quantity]]*Shoe_Sales[[#This Row],[Cost Price]])</f>
        <v>98</v>
      </c>
      <c r="P265" s="12">
        <f>(Shoe_Sales[[#This Row],[Revenue]]-Shoe_Sales[[#This Row],[Cost]])</f>
        <v>126</v>
      </c>
      <c r="Q265" s="15">
        <f>(Shoe_Sales[[#This Row],[Profit]]/Shoe_Sales[[#This Row],[Revenue]])</f>
        <v>0.5625</v>
      </c>
    </row>
    <row r="266" spans="1:17" x14ac:dyDescent="0.25">
      <c r="A266" s="8">
        <v>46169</v>
      </c>
      <c r="B266" s="2" t="s">
        <v>32</v>
      </c>
      <c r="C266" s="2" t="str">
        <f t="shared" si="8"/>
        <v>Oxford</v>
      </c>
      <c r="D266" s="2" t="s">
        <v>48</v>
      </c>
      <c r="E266" s="2" t="str">
        <f t="shared" si="9"/>
        <v>Open</v>
      </c>
      <c r="F266" s="2" t="s">
        <v>24</v>
      </c>
      <c r="G266" s="2" t="s">
        <v>60</v>
      </c>
      <c r="H266" s="2" t="str">
        <f>PROPER(Shoe_Sales[[#This Row],[Brand]])</f>
        <v>Clarks</v>
      </c>
      <c r="I266" s="2" t="s">
        <v>31</v>
      </c>
      <c r="J266" s="3">
        <v>10</v>
      </c>
      <c r="K266" s="2" t="s">
        <v>80</v>
      </c>
      <c r="L266" s="12">
        <f>VLOOKUP(Shoe_Sales[[#This Row],[Product Cleaned]],Price!$A$2:$C$9,2,FALSE)</f>
        <v>105</v>
      </c>
      <c r="M266" s="12">
        <f>VLOOKUP(Shoe_Sales[[#This Row],[Product Cleaned]],Price!$A$2:$C$9,3,0)</f>
        <v>58</v>
      </c>
      <c r="N266" s="12">
        <f>(Shoe_Sales[[#This Row],[Quantity]]*Shoe_Sales[[#This Row],[Selling Price]])</f>
        <v>1050</v>
      </c>
      <c r="O266" s="12">
        <f>(Shoe_Sales[[#This Row],[Quantity]]*Shoe_Sales[[#This Row],[Cost Price]])</f>
        <v>580</v>
      </c>
      <c r="P266" s="12">
        <f>(Shoe_Sales[[#This Row],[Revenue]]-Shoe_Sales[[#This Row],[Cost]])</f>
        <v>470</v>
      </c>
      <c r="Q266" s="15">
        <f>(Shoe_Sales[[#This Row],[Profit]]/Shoe_Sales[[#This Row],[Revenue]])</f>
        <v>0.44761904761904764</v>
      </c>
    </row>
    <row r="267" spans="1:17" x14ac:dyDescent="0.25">
      <c r="A267" s="9">
        <v>46066</v>
      </c>
      <c r="B267" s="4" t="s">
        <v>7</v>
      </c>
      <c r="C267" s="2" t="str">
        <f t="shared" si="8"/>
        <v>Derby</v>
      </c>
      <c r="D267" s="4" t="s">
        <v>33</v>
      </c>
      <c r="E267" s="2" t="str">
        <f t="shared" si="9"/>
        <v>Formal</v>
      </c>
      <c r="F267" s="4" t="s">
        <v>19</v>
      </c>
      <c r="G267" s="4" t="s">
        <v>73</v>
      </c>
      <c r="H267" s="4" t="str">
        <f>PROPER(Shoe_Sales[[#This Row],[Brand]])</f>
        <v>Timberland</v>
      </c>
      <c r="I267" s="4" t="s">
        <v>26</v>
      </c>
      <c r="J267" s="5">
        <v>10</v>
      </c>
      <c r="K267" s="4" t="s">
        <v>80</v>
      </c>
      <c r="L267" s="12">
        <f>VLOOKUP(Shoe_Sales[[#This Row],[Product Cleaned]],Price!$A$2:$C$9,2,FALSE)</f>
        <v>32</v>
      </c>
      <c r="M267" s="12">
        <f>VLOOKUP(Shoe_Sales[[#This Row],[Product Cleaned]],Price!$A$2:$C$9,3,0)</f>
        <v>14</v>
      </c>
      <c r="N267" s="12">
        <f>(Shoe_Sales[[#This Row],[Quantity]]*Shoe_Sales[[#This Row],[Selling Price]])</f>
        <v>320</v>
      </c>
      <c r="O267" s="12">
        <f>(Shoe_Sales[[#This Row],[Quantity]]*Shoe_Sales[[#This Row],[Cost Price]])</f>
        <v>140</v>
      </c>
      <c r="P267" s="12">
        <f>(Shoe_Sales[[#This Row],[Revenue]]-Shoe_Sales[[#This Row],[Cost]])</f>
        <v>180</v>
      </c>
      <c r="Q267" s="15">
        <f>(Shoe_Sales[[#This Row],[Profit]]/Shoe_Sales[[#This Row],[Revenue]])</f>
        <v>0.5625</v>
      </c>
    </row>
    <row r="268" spans="1:17" x14ac:dyDescent="0.25">
      <c r="A268" s="8">
        <v>46053</v>
      </c>
      <c r="B268" s="2" t="s">
        <v>51</v>
      </c>
      <c r="C268" s="2" t="str">
        <f t="shared" si="8"/>
        <v>Loafers</v>
      </c>
      <c r="D268" s="2" t="s">
        <v>33</v>
      </c>
      <c r="E268" s="2" t="str">
        <f t="shared" si="9"/>
        <v>Formal</v>
      </c>
      <c r="F268" s="2" t="s">
        <v>14</v>
      </c>
      <c r="G268" s="2" t="s">
        <v>10</v>
      </c>
      <c r="H268" s="2" t="str">
        <f>PROPER(Shoe_Sales[[#This Row],[Brand]])</f>
        <v>Clarks</v>
      </c>
      <c r="I268" s="2" t="s">
        <v>11</v>
      </c>
      <c r="J268" s="3">
        <v>15</v>
      </c>
      <c r="K268" s="2" t="s">
        <v>82</v>
      </c>
      <c r="L268" s="12">
        <f>VLOOKUP(Shoe_Sales[[#This Row],[Product Cleaned]],Price!$A$2:$C$9,2,FALSE)</f>
        <v>54</v>
      </c>
      <c r="M268" s="12">
        <f>VLOOKUP(Shoe_Sales[[#This Row],[Product Cleaned]],Price!$A$2:$C$9,3,0)</f>
        <v>28</v>
      </c>
      <c r="N268" s="12">
        <f>(Shoe_Sales[[#This Row],[Quantity]]*Shoe_Sales[[#This Row],[Selling Price]])</f>
        <v>810</v>
      </c>
      <c r="O268" s="12">
        <f>(Shoe_Sales[[#This Row],[Quantity]]*Shoe_Sales[[#This Row],[Cost Price]])</f>
        <v>420</v>
      </c>
      <c r="P268" s="12">
        <f>(Shoe_Sales[[#This Row],[Revenue]]-Shoe_Sales[[#This Row],[Cost]])</f>
        <v>390</v>
      </c>
      <c r="Q268" s="15">
        <f>(Shoe_Sales[[#This Row],[Profit]]/Shoe_Sales[[#This Row],[Revenue]])</f>
        <v>0.48148148148148145</v>
      </c>
    </row>
    <row r="269" spans="1:17" x14ac:dyDescent="0.25">
      <c r="A269" s="9">
        <v>46131</v>
      </c>
      <c r="B269" s="4" t="s">
        <v>51</v>
      </c>
      <c r="C269" s="2" t="str">
        <f t="shared" si="8"/>
        <v>Loafers</v>
      </c>
      <c r="D269" s="4" t="s">
        <v>18</v>
      </c>
      <c r="E269" s="2" t="str">
        <f t="shared" si="9"/>
        <v>Open</v>
      </c>
      <c r="F269" s="4" t="s">
        <v>29</v>
      </c>
      <c r="G269" s="4" t="s">
        <v>40</v>
      </c>
      <c r="H269" s="4" t="str">
        <f>PROPER(Shoe_Sales[[#This Row],[Brand]])</f>
        <v>Zara</v>
      </c>
      <c r="I269" s="4" t="s">
        <v>54</v>
      </c>
      <c r="J269" s="5">
        <v>1</v>
      </c>
      <c r="K269" s="4" t="s">
        <v>80</v>
      </c>
      <c r="L269" s="12">
        <f>VLOOKUP(Shoe_Sales[[#This Row],[Product Cleaned]],Price!$A$2:$C$9,2,FALSE)</f>
        <v>54</v>
      </c>
      <c r="M269" s="12">
        <f>VLOOKUP(Shoe_Sales[[#This Row],[Product Cleaned]],Price!$A$2:$C$9,3,0)</f>
        <v>28</v>
      </c>
      <c r="N269" s="12">
        <f>(Shoe_Sales[[#This Row],[Quantity]]*Shoe_Sales[[#This Row],[Selling Price]])</f>
        <v>54</v>
      </c>
      <c r="O269" s="12">
        <f>(Shoe_Sales[[#This Row],[Quantity]]*Shoe_Sales[[#This Row],[Cost Price]])</f>
        <v>28</v>
      </c>
      <c r="P269" s="12">
        <f>(Shoe_Sales[[#This Row],[Revenue]]-Shoe_Sales[[#This Row],[Cost]])</f>
        <v>26</v>
      </c>
      <c r="Q269" s="15">
        <f>(Shoe_Sales[[#This Row],[Profit]]/Shoe_Sales[[#This Row],[Revenue]])</f>
        <v>0.48148148148148145</v>
      </c>
    </row>
    <row r="270" spans="1:17" x14ac:dyDescent="0.25">
      <c r="A270" s="8">
        <v>46105</v>
      </c>
      <c r="B270" s="2" t="s">
        <v>65</v>
      </c>
      <c r="C270" s="2" t="str">
        <f t="shared" si="8"/>
        <v>Canvas</v>
      </c>
      <c r="D270" s="2" t="s">
        <v>18</v>
      </c>
      <c r="E270" s="2" t="str">
        <f t="shared" si="9"/>
        <v>Open</v>
      </c>
      <c r="F270" s="2" t="s">
        <v>9</v>
      </c>
      <c r="G270" s="2" t="s">
        <v>30</v>
      </c>
      <c r="H270" s="2" t="str">
        <f>PROPER(Shoe_Sales[[#This Row],[Brand]])</f>
        <v>Timberland</v>
      </c>
      <c r="I270" s="2" t="s">
        <v>16</v>
      </c>
      <c r="J270" s="3">
        <v>2</v>
      </c>
      <c r="K270" s="2" t="s">
        <v>81</v>
      </c>
      <c r="L270" s="12">
        <f>VLOOKUP(Shoe_Sales[[#This Row],[Product Cleaned]],Price!$A$2:$C$9,2,FALSE)</f>
        <v>128</v>
      </c>
      <c r="M270" s="12">
        <f>VLOOKUP(Shoe_Sales[[#This Row],[Product Cleaned]],Price!$A$2:$C$9,3,0)</f>
        <v>72</v>
      </c>
      <c r="N270" s="12">
        <f>(Shoe_Sales[[#This Row],[Quantity]]*Shoe_Sales[[#This Row],[Selling Price]])</f>
        <v>256</v>
      </c>
      <c r="O270" s="12">
        <f>(Shoe_Sales[[#This Row],[Quantity]]*Shoe_Sales[[#This Row],[Cost Price]])</f>
        <v>144</v>
      </c>
      <c r="P270" s="12">
        <f>(Shoe_Sales[[#This Row],[Revenue]]-Shoe_Sales[[#This Row],[Cost]])</f>
        <v>112</v>
      </c>
      <c r="Q270" s="15">
        <f>(Shoe_Sales[[#This Row],[Profit]]/Shoe_Sales[[#This Row],[Revenue]])</f>
        <v>0.4375</v>
      </c>
    </row>
    <row r="271" spans="1:17" x14ac:dyDescent="0.25">
      <c r="A271" s="9">
        <v>46235</v>
      </c>
      <c r="B271" s="4" t="s">
        <v>32</v>
      </c>
      <c r="C271" s="2" t="str">
        <f t="shared" si="8"/>
        <v>Oxford</v>
      </c>
      <c r="D271" s="4" t="s">
        <v>68</v>
      </c>
      <c r="E271" s="2" t="str">
        <f t="shared" si="9"/>
        <v>Open</v>
      </c>
      <c r="F271" s="4" t="s">
        <v>24</v>
      </c>
      <c r="G271" s="4" t="s">
        <v>25</v>
      </c>
      <c r="H271" s="4" t="str">
        <f>PROPER(Shoe_Sales[[#This Row],[Brand]])</f>
        <v>Zara</v>
      </c>
      <c r="I271" s="4" t="s">
        <v>61</v>
      </c>
      <c r="J271" s="5">
        <v>12</v>
      </c>
      <c r="K271" s="4" t="s">
        <v>81</v>
      </c>
      <c r="L271" s="12">
        <f>VLOOKUP(Shoe_Sales[[#This Row],[Product Cleaned]],Price!$A$2:$C$9,2,FALSE)</f>
        <v>105</v>
      </c>
      <c r="M271" s="12">
        <f>VLOOKUP(Shoe_Sales[[#This Row],[Product Cleaned]],Price!$A$2:$C$9,3,0)</f>
        <v>58</v>
      </c>
      <c r="N271" s="12">
        <f>(Shoe_Sales[[#This Row],[Quantity]]*Shoe_Sales[[#This Row],[Selling Price]])</f>
        <v>1260</v>
      </c>
      <c r="O271" s="12">
        <f>(Shoe_Sales[[#This Row],[Quantity]]*Shoe_Sales[[#This Row],[Cost Price]])</f>
        <v>696</v>
      </c>
      <c r="P271" s="12">
        <f>(Shoe_Sales[[#This Row],[Revenue]]-Shoe_Sales[[#This Row],[Cost]])</f>
        <v>564</v>
      </c>
      <c r="Q271" s="15">
        <f>(Shoe_Sales[[#This Row],[Profit]]/Shoe_Sales[[#This Row],[Revenue]])</f>
        <v>0.44761904761904764</v>
      </c>
    </row>
    <row r="272" spans="1:17" x14ac:dyDescent="0.25">
      <c r="A272" s="8">
        <v>46178</v>
      </c>
      <c r="B272" s="2" t="s">
        <v>70</v>
      </c>
      <c r="C272" s="2" t="str">
        <f t="shared" si="8"/>
        <v>Loafers</v>
      </c>
      <c r="D272" s="2" t="s">
        <v>33</v>
      </c>
      <c r="E272" s="2" t="str">
        <f t="shared" si="9"/>
        <v>Formal</v>
      </c>
      <c r="F272" s="2" t="s">
        <v>14</v>
      </c>
      <c r="G272" s="2" t="s">
        <v>20</v>
      </c>
      <c r="H272" s="2" t="str">
        <f>PROPER(Shoe_Sales[[#This Row],[Brand]])</f>
        <v>Nike</v>
      </c>
      <c r="I272" s="2" t="s">
        <v>46</v>
      </c>
      <c r="J272" s="3">
        <v>15</v>
      </c>
      <c r="K272" s="2" t="s">
        <v>79</v>
      </c>
      <c r="L272" s="12">
        <f>VLOOKUP(Shoe_Sales[[#This Row],[Product Cleaned]],Price!$A$2:$C$9,2,FALSE)</f>
        <v>54</v>
      </c>
      <c r="M272" s="12">
        <f>VLOOKUP(Shoe_Sales[[#This Row],[Product Cleaned]],Price!$A$2:$C$9,3,0)</f>
        <v>28</v>
      </c>
      <c r="N272" s="12">
        <f>(Shoe_Sales[[#This Row],[Quantity]]*Shoe_Sales[[#This Row],[Selling Price]])</f>
        <v>810</v>
      </c>
      <c r="O272" s="12">
        <f>(Shoe_Sales[[#This Row],[Quantity]]*Shoe_Sales[[#This Row],[Cost Price]])</f>
        <v>420</v>
      </c>
      <c r="P272" s="12">
        <f>(Shoe_Sales[[#This Row],[Revenue]]-Shoe_Sales[[#This Row],[Cost]])</f>
        <v>390</v>
      </c>
      <c r="Q272" s="15">
        <f>(Shoe_Sales[[#This Row],[Profit]]/Shoe_Sales[[#This Row],[Revenue]])</f>
        <v>0.48148148148148145</v>
      </c>
    </row>
    <row r="273" spans="1:17" x14ac:dyDescent="0.25">
      <c r="A273" s="9">
        <v>46190</v>
      </c>
      <c r="B273" s="4" t="s">
        <v>42</v>
      </c>
      <c r="C273" s="2" t="str">
        <f t="shared" si="8"/>
        <v>Derby</v>
      </c>
      <c r="D273" s="4" t="s">
        <v>8</v>
      </c>
      <c r="E273" s="2" t="str">
        <f t="shared" si="9"/>
        <v>Formal</v>
      </c>
      <c r="F273" s="4" t="s">
        <v>24</v>
      </c>
      <c r="G273" s="4" t="s">
        <v>57</v>
      </c>
      <c r="H273" s="4" t="str">
        <f>PROPER(Shoe_Sales[[#This Row],[Brand]])</f>
        <v>Timberland</v>
      </c>
      <c r="I273" s="4" t="s">
        <v>46</v>
      </c>
      <c r="J273" s="5">
        <v>13</v>
      </c>
      <c r="K273" s="4" t="s">
        <v>82</v>
      </c>
      <c r="L273" s="12">
        <f>VLOOKUP(Shoe_Sales[[#This Row],[Product Cleaned]],Price!$A$2:$C$9,2,FALSE)</f>
        <v>32</v>
      </c>
      <c r="M273" s="12">
        <f>VLOOKUP(Shoe_Sales[[#This Row],[Product Cleaned]],Price!$A$2:$C$9,3,0)</f>
        <v>14</v>
      </c>
      <c r="N273" s="12">
        <f>(Shoe_Sales[[#This Row],[Quantity]]*Shoe_Sales[[#This Row],[Selling Price]])</f>
        <v>416</v>
      </c>
      <c r="O273" s="12">
        <f>(Shoe_Sales[[#This Row],[Quantity]]*Shoe_Sales[[#This Row],[Cost Price]])</f>
        <v>182</v>
      </c>
      <c r="P273" s="12">
        <f>(Shoe_Sales[[#This Row],[Revenue]]-Shoe_Sales[[#This Row],[Cost]])</f>
        <v>234</v>
      </c>
      <c r="Q273" s="15">
        <f>(Shoe_Sales[[#This Row],[Profit]]/Shoe_Sales[[#This Row],[Revenue]])</f>
        <v>0.5625</v>
      </c>
    </row>
    <row r="274" spans="1:17" x14ac:dyDescent="0.25">
      <c r="A274" s="8">
        <v>46110</v>
      </c>
      <c r="B274" s="2" t="s">
        <v>67</v>
      </c>
      <c r="C274" s="2" t="str">
        <f t="shared" si="8"/>
        <v>Slippers</v>
      </c>
      <c r="D274" s="2" t="s">
        <v>18</v>
      </c>
      <c r="E274" s="2" t="str">
        <f t="shared" si="9"/>
        <v>Open</v>
      </c>
      <c r="F274" s="2" t="s">
        <v>29</v>
      </c>
      <c r="G274" s="2" t="s">
        <v>60</v>
      </c>
      <c r="H274" s="2" t="str">
        <f>PROPER(Shoe_Sales[[#This Row],[Brand]])</f>
        <v>Clarks</v>
      </c>
      <c r="I274" s="2" t="s">
        <v>16</v>
      </c>
      <c r="J274" s="3">
        <v>3</v>
      </c>
      <c r="K274" s="2" t="s">
        <v>81</v>
      </c>
      <c r="L274" s="12">
        <f>VLOOKUP(Shoe_Sales[[#This Row],[Product Cleaned]],Price!$A$2:$C$9,2,FALSE)</f>
        <v>119</v>
      </c>
      <c r="M274" s="12">
        <f>VLOOKUP(Shoe_Sales[[#This Row],[Product Cleaned]],Price!$A$2:$C$9,3,0)</f>
        <v>67</v>
      </c>
      <c r="N274" s="12">
        <f>(Shoe_Sales[[#This Row],[Quantity]]*Shoe_Sales[[#This Row],[Selling Price]])</f>
        <v>357</v>
      </c>
      <c r="O274" s="12">
        <f>(Shoe_Sales[[#This Row],[Quantity]]*Shoe_Sales[[#This Row],[Cost Price]])</f>
        <v>201</v>
      </c>
      <c r="P274" s="12">
        <f>(Shoe_Sales[[#This Row],[Revenue]]-Shoe_Sales[[#This Row],[Cost]])</f>
        <v>156</v>
      </c>
      <c r="Q274" s="15">
        <f>(Shoe_Sales[[#This Row],[Profit]]/Shoe_Sales[[#This Row],[Revenue]])</f>
        <v>0.43697478991596639</v>
      </c>
    </row>
    <row r="275" spans="1:17" x14ac:dyDescent="0.25">
      <c r="A275" s="9">
        <v>46208</v>
      </c>
      <c r="B275" s="4" t="s">
        <v>38</v>
      </c>
      <c r="C275" s="2" t="str">
        <f t="shared" si="8"/>
        <v>Monk Straps</v>
      </c>
      <c r="D275" s="4" t="s">
        <v>39</v>
      </c>
      <c r="E275" s="2" t="str">
        <f t="shared" si="9"/>
        <v>Formal</v>
      </c>
      <c r="F275" s="4" t="s">
        <v>24</v>
      </c>
      <c r="G275" s="4" t="s">
        <v>57</v>
      </c>
      <c r="H275" s="4" t="str">
        <f>PROPER(Shoe_Sales[[#This Row],[Brand]])</f>
        <v>Timberland</v>
      </c>
      <c r="I275" s="4" t="s">
        <v>43</v>
      </c>
      <c r="J275" s="5">
        <v>3</v>
      </c>
      <c r="K275" s="4" t="s">
        <v>81</v>
      </c>
      <c r="L275" s="12">
        <f>VLOOKUP(Shoe_Sales[[#This Row],[Product Cleaned]],Price!$A$2:$C$9,2,FALSE)</f>
        <v>89</v>
      </c>
      <c r="M275" s="12">
        <f>VLOOKUP(Shoe_Sales[[#This Row],[Product Cleaned]],Price!$A$2:$C$9,3,0)</f>
        <v>47</v>
      </c>
      <c r="N275" s="12">
        <f>(Shoe_Sales[[#This Row],[Quantity]]*Shoe_Sales[[#This Row],[Selling Price]])</f>
        <v>267</v>
      </c>
      <c r="O275" s="12">
        <f>(Shoe_Sales[[#This Row],[Quantity]]*Shoe_Sales[[#This Row],[Cost Price]])</f>
        <v>141</v>
      </c>
      <c r="P275" s="12">
        <f>(Shoe_Sales[[#This Row],[Revenue]]-Shoe_Sales[[#This Row],[Cost]])</f>
        <v>126</v>
      </c>
      <c r="Q275" s="15">
        <f>(Shoe_Sales[[#This Row],[Profit]]/Shoe_Sales[[#This Row],[Revenue]])</f>
        <v>0.47191011235955055</v>
      </c>
    </row>
    <row r="276" spans="1:17" x14ac:dyDescent="0.25">
      <c r="A276" s="8">
        <v>46097</v>
      </c>
      <c r="B276" s="2" t="s">
        <v>17</v>
      </c>
      <c r="C276" s="2" t="str">
        <f t="shared" si="8"/>
        <v>Slippers</v>
      </c>
      <c r="D276" s="2" t="s">
        <v>8</v>
      </c>
      <c r="E276" s="2" t="str">
        <f t="shared" si="9"/>
        <v>Formal</v>
      </c>
      <c r="F276" s="2" t="s">
        <v>19</v>
      </c>
      <c r="G276" s="2" t="s">
        <v>10</v>
      </c>
      <c r="H276" s="2" t="str">
        <f>PROPER(Shoe_Sales[[#This Row],[Brand]])</f>
        <v>Clarks</v>
      </c>
      <c r="I276" s="2" t="s">
        <v>21</v>
      </c>
      <c r="J276" s="3">
        <v>12</v>
      </c>
      <c r="K276" s="2" t="s">
        <v>82</v>
      </c>
      <c r="L276" s="12">
        <f>VLOOKUP(Shoe_Sales[[#This Row],[Product Cleaned]],Price!$A$2:$C$9,2,FALSE)</f>
        <v>119</v>
      </c>
      <c r="M276" s="12">
        <f>VLOOKUP(Shoe_Sales[[#This Row],[Product Cleaned]],Price!$A$2:$C$9,3,0)</f>
        <v>67</v>
      </c>
      <c r="N276" s="12">
        <f>(Shoe_Sales[[#This Row],[Quantity]]*Shoe_Sales[[#This Row],[Selling Price]])</f>
        <v>1428</v>
      </c>
      <c r="O276" s="12">
        <f>(Shoe_Sales[[#This Row],[Quantity]]*Shoe_Sales[[#This Row],[Cost Price]])</f>
        <v>804</v>
      </c>
      <c r="P276" s="12">
        <f>(Shoe_Sales[[#This Row],[Revenue]]-Shoe_Sales[[#This Row],[Cost]])</f>
        <v>624</v>
      </c>
      <c r="Q276" s="15">
        <f>(Shoe_Sales[[#This Row],[Profit]]/Shoe_Sales[[#This Row],[Revenue]])</f>
        <v>0.43697478991596639</v>
      </c>
    </row>
    <row r="277" spans="1:17" x14ac:dyDescent="0.25">
      <c r="A277" s="9">
        <v>46199</v>
      </c>
      <c r="B277" s="4" t="s">
        <v>44</v>
      </c>
      <c r="C277" s="2" t="str">
        <f t="shared" si="8"/>
        <v>Canvas</v>
      </c>
      <c r="D277" s="4" t="s">
        <v>39</v>
      </c>
      <c r="E277" s="2" t="str">
        <f t="shared" si="9"/>
        <v>Formal</v>
      </c>
      <c r="F277" s="4" t="s">
        <v>24</v>
      </c>
      <c r="G277" s="4" t="s">
        <v>40</v>
      </c>
      <c r="H277" s="4" t="str">
        <f>PROPER(Shoe_Sales[[#This Row],[Brand]])</f>
        <v>Zara</v>
      </c>
      <c r="I277" s="4" t="s">
        <v>11</v>
      </c>
      <c r="J277" s="5">
        <v>8</v>
      </c>
      <c r="K277" s="4" t="s">
        <v>81</v>
      </c>
      <c r="L277" s="12">
        <f>VLOOKUP(Shoe_Sales[[#This Row],[Product Cleaned]],Price!$A$2:$C$9,2,FALSE)</f>
        <v>128</v>
      </c>
      <c r="M277" s="12">
        <f>VLOOKUP(Shoe_Sales[[#This Row],[Product Cleaned]],Price!$A$2:$C$9,3,0)</f>
        <v>72</v>
      </c>
      <c r="N277" s="12">
        <f>(Shoe_Sales[[#This Row],[Quantity]]*Shoe_Sales[[#This Row],[Selling Price]])</f>
        <v>1024</v>
      </c>
      <c r="O277" s="12">
        <f>(Shoe_Sales[[#This Row],[Quantity]]*Shoe_Sales[[#This Row],[Cost Price]])</f>
        <v>576</v>
      </c>
      <c r="P277" s="12">
        <f>(Shoe_Sales[[#This Row],[Revenue]]-Shoe_Sales[[#This Row],[Cost]])</f>
        <v>448</v>
      </c>
      <c r="Q277" s="15">
        <f>(Shoe_Sales[[#This Row],[Profit]]/Shoe_Sales[[#This Row],[Revenue]])</f>
        <v>0.4375</v>
      </c>
    </row>
    <row r="278" spans="1:17" x14ac:dyDescent="0.25">
      <c r="A278" s="8">
        <v>46111</v>
      </c>
      <c r="B278" s="2" t="s">
        <v>36</v>
      </c>
      <c r="C278" s="2" t="str">
        <f t="shared" si="8"/>
        <v>Brogues</v>
      </c>
      <c r="D278" s="2" t="s">
        <v>18</v>
      </c>
      <c r="E278" s="2" t="str">
        <f t="shared" si="9"/>
        <v>Open</v>
      </c>
      <c r="F278" s="2" t="s">
        <v>24</v>
      </c>
      <c r="G278" s="2" t="s">
        <v>73</v>
      </c>
      <c r="H278" s="2" t="str">
        <f>PROPER(Shoe_Sales[[#This Row],[Brand]])</f>
        <v>Timberland</v>
      </c>
      <c r="I278" s="2" t="s">
        <v>43</v>
      </c>
      <c r="J278" s="3">
        <v>4</v>
      </c>
      <c r="K278" s="2" t="s">
        <v>79</v>
      </c>
      <c r="L278" s="12">
        <f>VLOOKUP(Shoe_Sales[[#This Row],[Product Cleaned]],Price!$A$2:$C$9,2,FALSE)</f>
        <v>112</v>
      </c>
      <c r="M278" s="12">
        <f>VLOOKUP(Shoe_Sales[[#This Row],[Product Cleaned]],Price!$A$2:$C$9,3,0)</f>
        <v>64</v>
      </c>
      <c r="N278" s="12">
        <f>(Shoe_Sales[[#This Row],[Quantity]]*Shoe_Sales[[#This Row],[Selling Price]])</f>
        <v>448</v>
      </c>
      <c r="O278" s="12">
        <f>(Shoe_Sales[[#This Row],[Quantity]]*Shoe_Sales[[#This Row],[Cost Price]])</f>
        <v>256</v>
      </c>
      <c r="P278" s="12">
        <f>(Shoe_Sales[[#This Row],[Revenue]]-Shoe_Sales[[#This Row],[Cost]])</f>
        <v>192</v>
      </c>
      <c r="Q278" s="15">
        <f>(Shoe_Sales[[#This Row],[Profit]]/Shoe_Sales[[#This Row],[Revenue]])</f>
        <v>0.42857142857142855</v>
      </c>
    </row>
    <row r="279" spans="1:17" x14ac:dyDescent="0.25">
      <c r="A279" s="9">
        <v>46094</v>
      </c>
      <c r="B279" s="4" t="s">
        <v>42</v>
      </c>
      <c r="C279" s="2" t="str">
        <f t="shared" si="8"/>
        <v>Derby</v>
      </c>
      <c r="D279" s="4" t="s">
        <v>13</v>
      </c>
      <c r="E279" s="2" t="str">
        <f t="shared" si="9"/>
        <v>Casual</v>
      </c>
      <c r="F279" s="4" t="s">
        <v>29</v>
      </c>
      <c r="G279" s="4" t="s">
        <v>60</v>
      </c>
      <c r="H279" s="4" t="str">
        <f>PROPER(Shoe_Sales[[#This Row],[Brand]])</f>
        <v>Clarks</v>
      </c>
      <c r="I279" s="4" t="s">
        <v>37</v>
      </c>
      <c r="J279" s="5">
        <v>9</v>
      </c>
      <c r="K279" s="4" t="s">
        <v>80</v>
      </c>
      <c r="L279" s="12">
        <f>VLOOKUP(Shoe_Sales[[#This Row],[Product Cleaned]],Price!$A$2:$C$9,2,FALSE)</f>
        <v>32</v>
      </c>
      <c r="M279" s="12">
        <f>VLOOKUP(Shoe_Sales[[#This Row],[Product Cleaned]],Price!$A$2:$C$9,3,0)</f>
        <v>14</v>
      </c>
      <c r="N279" s="12">
        <f>(Shoe_Sales[[#This Row],[Quantity]]*Shoe_Sales[[#This Row],[Selling Price]])</f>
        <v>288</v>
      </c>
      <c r="O279" s="12">
        <f>(Shoe_Sales[[#This Row],[Quantity]]*Shoe_Sales[[#This Row],[Cost Price]])</f>
        <v>126</v>
      </c>
      <c r="P279" s="12">
        <f>(Shoe_Sales[[#This Row],[Revenue]]-Shoe_Sales[[#This Row],[Cost]])</f>
        <v>162</v>
      </c>
      <c r="Q279" s="15">
        <f>(Shoe_Sales[[#This Row],[Profit]]/Shoe_Sales[[#This Row],[Revenue]])</f>
        <v>0.5625</v>
      </c>
    </row>
    <row r="280" spans="1:17" x14ac:dyDescent="0.25">
      <c r="A280" s="8">
        <v>46031</v>
      </c>
      <c r="B280" s="2" t="s">
        <v>44</v>
      </c>
      <c r="C280" s="2" t="str">
        <f t="shared" si="8"/>
        <v>Canvas</v>
      </c>
      <c r="D280" s="2" t="s">
        <v>8</v>
      </c>
      <c r="E280" s="2" t="str">
        <f t="shared" si="9"/>
        <v>Formal</v>
      </c>
      <c r="F280" s="2" t="s">
        <v>9</v>
      </c>
      <c r="G280" s="2" t="s">
        <v>34</v>
      </c>
      <c r="H280" s="2" t="str">
        <f>PROPER(Shoe_Sales[[#This Row],[Brand]])</f>
        <v>Clarks</v>
      </c>
      <c r="I280" s="2" t="s">
        <v>11</v>
      </c>
      <c r="J280" s="3">
        <v>7</v>
      </c>
      <c r="K280" s="2" t="s">
        <v>81</v>
      </c>
      <c r="L280" s="12">
        <f>VLOOKUP(Shoe_Sales[[#This Row],[Product Cleaned]],Price!$A$2:$C$9,2,FALSE)</f>
        <v>128</v>
      </c>
      <c r="M280" s="12">
        <f>VLOOKUP(Shoe_Sales[[#This Row],[Product Cleaned]],Price!$A$2:$C$9,3,0)</f>
        <v>72</v>
      </c>
      <c r="N280" s="12">
        <f>(Shoe_Sales[[#This Row],[Quantity]]*Shoe_Sales[[#This Row],[Selling Price]])</f>
        <v>896</v>
      </c>
      <c r="O280" s="12">
        <f>(Shoe_Sales[[#This Row],[Quantity]]*Shoe_Sales[[#This Row],[Cost Price]])</f>
        <v>504</v>
      </c>
      <c r="P280" s="12">
        <f>(Shoe_Sales[[#This Row],[Revenue]]-Shoe_Sales[[#This Row],[Cost]])</f>
        <v>392</v>
      </c>
      <c r="Q280" s="15">
        <f>(Shoe_Sales[[#This Row],[Profit]]/Shoe_Sales[[#This Row],[Revenue]])</f>
        <v>0.4375</v>
      </c>
    </row>
    <row r="281" spans="1:17" x14ac:dyDescent="0.25">
      <c r="A281" s="9">
        <v>46174</v>
      </c>
      <c r="B281" s="4" t="s">
        <v>44</v>
      </c>
      <c r="C281" s="2" t="str">
        <f t="shared" si="8"/>
        <v>Canvas</v>
      </c>
      <c r="D281" s="4" t="s">
        <v>39</v>
      </c>
      <c r="E281" s="2" t="str">
        <f t="shared" si="9"/>
        <v>Formal</v>
      </c>
      <c r="F281" s="4" t="s">
        <v>14</v>
      </c>
      <c r="G281" s="4" t="s">
        <v>34</v>
      </c>
      <c r="H281" s="4" t="str">
        <f>PROPER(Shoe_Sales[[#This Row],[Brand]])</f>
        <v>Clarks</v>
      </c>
      <c r="I281" s="4" t="s">
        <v>21</v>
      </c>
      <c r="J281" s="5">
        <v>8</v>
      </c>
      <c r="K281" s="4" t="s">
        <v>79</v>
      </c>
      <c r="L281" s="12">
        <f>VLOOKUP(Shoe_Sales[[#This Row],[Product Cleaned]],Price!$A$2:$C$9,2,FALSE)</f>
        <v>128</v>
      </c>
      <c r="M281" s="12">
        <f>VLOOKUP(Shoe_Sales[[#This Row],[Product Cleaned]],Price!$A$2:$C$9,3,0)</f>
        <v>72</v>
      </c>
      <c r="N281" s="12">
        <f>(Shoe_Sales[[#This Row],[Quantity]]*Shoe_Sales[[#This Row],[Selling Price]])</f>
        <v>1024</v>
      </c>
      <c r="O281" s="12">
        <f>(Shoe_Sales[[#This Row],[Quantity]]*Shoe_Sales[[#This Row],[Cost Price]])</f>
        <v>576</v>
      </c>
      <c r="P281" s="12">
        <f>(Shoe_Sales[[#This Row],[Revenue]]-Shoe_Sales[[#This Row],[Cost]])</f>
        <v>448</v>
      </c>
      <c r="Q281" s="15">
        <f>(Shoe_Sales[[#This Row],[Profit]]/Shoe_Sales[[#This Row],[Revenue]])</f>
        <v>0.4375</v>
      </c>
    </row>
    <row r="282" spans="1:17" x14ac:dyDescent="0.25">
      <c r="A282" s="8">
        <v>46168</v>
      </c>
      <c r="B282" s="2" t="s">
        <v>62</v>
      </c>
      <c r="C282" s="2" t="str">
        <f t="shared" si="8"/>
        <v>Brogues</v>
      </c>
      <c r="D282" s="2" t="s">
        <v>33</v>
      </c>
      <c r="E282" s="2" t="str">
        <f t="shared" si="9"/>
        <v>Formal</v>
      </c>
      <c r="F282" s="2" t="s">
        <v>14</v>
      </c>
      <c r="G282" s="2" t="s">
        <v>60</v>
      </c>
      <c r="H282" s="2" t="str">
        <f>PROPER(Shoe_Sales[[#This Row],[Brand]])</f>
        <v>Clarks</v>
      </c>
      <c r="I282" s="2" t="s">
        <v>35</v>
      </c>
      <c r="J282" s="3">
        <v>6</v>
      </c>
      <c r="K282" s="2" t="s">
        <v>79</v>
      </c>
      <c r="L282" s="12">
        <f>VLOOKUP(Shoe_Sales[[#This Row],[Product Cleaned]],Price!$A$2:$C$9,2,FALSE)</f>
        <v>112</v>
      </c>
      <c r="M282" s="12">
        <f>VLOOKUP(Shoe_Sales[[#This Row],[Product Cleaned]],Price!$A$2:$C$9,3,0)</f>
        <v>64</v>
      </c>
      <c r="N282" s="12">
        <f>(Shoe_Sales[[#This Row],[Quantity]]*Shoe_Sales[[#This Row],[Selling Price]])</f>
        <v>672</v>
      </c>
      <c r="O282" s="12">
        <f>(Shoe_Sales[[#This Row],[Quantity]]*Shoe_Sales[[#This Row],[Cost Price]])</f>
        <v>384</v>
      </c>
      <c r="P282" s="12">
        <f>(Shoe_Sales[[#This Row],[Revenue]]-Shoe_Sales[[#This Row],[Cost]])</f>
        <v>288</v>
      </c>
      <c r="Q282" s="15">
        <f>(Shoe_Sales[[#This Row],[Profit]]/Shoe_Sales[[#This Row],[Revenue]])</f>
        <v>0.42857142857142855</v>
      </c>
    </row>
    <row r="283" spans="1:17" x14ac:dyDescent="0.25">
      <c r="A283" s="9">
        <v>46059</v>
      </c>
      <c r="B283" s="4" t="s">
        <v>65</v>
      </c>
      <c r="C283" s="2" t="str">
        <f t="shared" si="8"/>
        <v>Canvas</v>
      </c>
      <c r="D283" s="4" t="s">
        <v>39</v>
      </c>
      <c r="E283" s="2" t="str">
        <f t="shared" si="9"/>
        <v>Formal</v>
      </c>
      <c r="F283" s="4" t="s">
        <v>9</v>
      </c>
      <c r="G283" s="4" t="s">
        <v>34</v>
      </c>
      <c r="H283" s="4" t="str">
        <f>PROPER(Shoe_Sales[[#This Row],[Brand]])</f>
        <v>Clarks</v>
      </c>
      <c r="I283" s="4" t="s">
        <v>54</v>
      </c>
      <c r="J283" s="5">
        <v>3</v>
      </c>
      <c r="K283" s="4" t="s">
        <v>79</v>
      </c>
      <c r="L283" s="12">
        <f>VLOOKUP(Shoe_Sales[[#This Row],[Product Cleaned]],Price!$A$2:$C$9,2,FALSE)</f>
        <v>128</v>
      </c>
      <c r="M283" s="12">
        <f>VLOOKUP(Shoe_Sales[[#This Row],[Product Cleaned]],Price!$A$2:$C$9,3,0)</f>
        <v>72</v>
      </c>
      <c r="N283" s="12">
        <f>(Shoe_Sales[[#This Row],[Quantity]]*Shoe_Sales[[#This Row],[Selling Price]])</f>
        <v>384</v>
      </c>
      <c r="O283" s="12">
        <f>(Shoe_Sales[[#This Row],[Quantity]]*Shoe_Sales[[#This Row],[Cost Price]])</f>
        <v>216</v>
      </c>
      <c r="P283" s="12">
        <f>(Shoe_Sales[[#This Row],[Revenue]]-Shoe_Sales[[#This Row],[Cost]])</f>
        <v>168</v>
      </c>
      <c r="Q283" s="15">
        <f>(Shoe_Sales[[#This Row],[Profit]]/Shoe_Sales[[#This Row],[Revenue]])</f>
        <v>0.4375</v>
      </c>
    </row>
    <row r="284" spans="1:17" x14ac:dyDescent="0.25">
      <c r="A284" s="8">
        <v>46088</v>
      </c>
      <c r="B284" s="2" t="s">
        <v>74</v>
      </c>
      <c r="C284" s="2" t="str">
        <f t="shared" si="8"/>
        <v>Oxford</v>
      </c>
      <c r="D284" s="2" t="s">
        <v>72</v>
      </c>
      <c r="E284" s="2" t="str">
        <f t="shared" si="9"/>
        <v>Utility</v>
      </c>
      <c r="F284" s="2" t="s">
        <v>19</v>
      </c>
      <c r="G284" s="2" t="s">
        <v>10</v>
      </c>
      <c r="H284" s="2" t="str">
        <f>PROPER(Shoe_Sales[[#This Row],[Brand]])</f>
        <v>Clarks</v>
      </c>
      <c r="I284" s="2" t="s">
        <v>31</v>
      </c>
      <c r="J284" s="3">
        <v>3</v>
      </c>
      <c r="K284" s="2" t="s">
        <v>81</v>
      </c>
      <c r="L284" s="12">
        <f>VLOOKUP(Shoe_Sales[[#This Row],[Product Cleaned]],Price!$A$2:$C$9,2,FALSE)</f>
        <v>105</v>
      </c>
      <c r="M284" s="12">
        <f>VLOOKUP(Shoe_Sales[[#This Row],[Product Cleaned]],Price!$A$2:$C$9,3,0)</f>
        <v>58</v>
      </c>
      <c r="N284" s="12">
        <f>(Shoe_Sales[[#This Row],[Quantity]]*Shoe_Sales[[#This Row],[Selling Price]])</f>
        <v>315</v>
      </c>
      <c r="O284" s="12">
        <f>(Shoe_Sales[[#This Row],[Quantity]]*Shoe_Sales[[#This Row],[Cost Price]])</f>
        <v>174</v>
      </c>
      <c r="P284" s="12">
        <f>(Shoe_Sales[[#This Row],[Revenue]]-Shoe_Sales[[#This Row],[Cost]])</f>
        <v>141</v>
      </c>
      <c r="Q284" s="15">
        <f>(Shoe_Sales[[#This Row],[Profit]]/Shoe_Sales[[#This Row],[Revenue]])</f>
        <v>0.44761904761904764</v>
      </c>
    </row>
    <row r="285" spans="1:17" x14ac:dyDescent="0.25">
      <c r="A285" s="9">
        <v>46032</v>
      </c>
      <c r="B285" s="4" t="s">
        <v>12</v>
      </c>
      <c r="C285" s="2" t="str">
        <f t="shared" si="8"/>
        <v>Canvas</v>
      </c>
      <c r="D285" s="4" t="s">
        <v>39</v>
      </c>
      <c r="E285" s="2" t="str">
        <f t="shared" si="9"/>
        <v>Formal</v>
      </c>
      <c r="F285" s="4" t="s">
        <v>19</v>
      </c>
      <c r="G285" s="4" t="s">
        <v>60</v>
      </c>
      <c r="H285" s="4" t="str">
        <f>PROPER(Shoe_Sales[[#This Row],[Brand]])</f>
        <v>Clarks</v>
      </c>
      <c r="I285" s="4" t="s">
        <v>43</v>
      </c>
      <c r="J285" s="5">
        <v>7</v>
      </c>
      <c r="K285" s="4" t="s">
        <v>79</v>
      </c>
      <c r="L285" s="12">
        <f>VLOOKUP(Shoe_Sales[[#This Row],[Product Cleaned]],Price!$A$2:$C$9,2,FALSE)</f>
        <v>128</v>
      </c>
      <c r="M285" s="12">
        <f>VLOOKUP(Shoe_Sales[[#This Row],[Product Cleaned]],Price!$A$2:$C$9,3,0)</f>
        <v>72</v>
      </c>
      <c r="N285" s="12">
        <f>(Shoe_Sales[[#This Row],[Quantity]]*Shoe_Sales[[#This Row],[Selling Price]])</f>
        <v>896</v>
      </c>
      <c r="O285" s="12">
        <f>(Shoe_Sales[[#This Row],[Quantity]]*Shoe_Sales[[#This Row],[Cost Price]])</f>
        <v>504</v>
      </c>
      <c r="P285" s="12">
        <f>(Shoe_Sales[[#This Row],[Revenue]]-Shoe_Sales[[#This Row],[Cost]])</f>
        <v>392</v>
      </c>
      <c r="Q285" s="15">
        <f>(Shoe_Sales[[#This Row],[Profit]]/Shoe_Sales[[#This Row],[Revenue]])</f>
        <v>0.4375</v>
      </c>
    </row>
    <row r="286" spans="1:17" x14ac:dyDescent="0.25">
      <c r="A286" s="8">
        <v>46125</v>
      </c>
      <c r="B286" s="2" t="s">
        <v>47</v>
      </c>
      <c r="C286" s="2" t="str">
        <f t="shared" si="8"/>
        <v>Slippers</v>
      </c>
      <c r="D286" s="2" t="s">
        <v>39</v>
      </c>
      <c r="E286" s="2" t="str">
        <f t="shared" si="9"/>
        <v>Formal</v>
      </c>
      <c r="F286" s="2" t="s">
        <v>24</v>
      </c>
      <c r="G286" s="2" t="s">
        <v>34</v>
      </c>
      <c r="H286" s="2" t="str">
        <f>PROPER(Shoe_Sales[[#This Row],[Brand]])</f>
        <v>Clarks</v>
      </c>
      <c r="I286" s="2" t="s">
        <v>43</v>
      </c>
      <c r="J286" s="3">
        <v>5</v>
      </c>
      <c r="K286" s="2" t="s">
        <v>82</v>
      </c>
      <c r="L286" s="12">
        <f>VLOOKUP(Shoe_Sales[[#This Row],[Product Cleaned]],Price!$A$2:$C$9,2,FALSE)</f>
        <v>119</v>
      </c>
      <c r="M286" s="12">
        <f>VLOOKUP(Shoe_Sales[[#This Row],[Product Cleaned]],Price!$A$2:$C$9,3,0)</f>
        <v>67</v>
      </c>
      <c r="N286" s="12">
        <f>(Shoe_Sales[[#This Row],[Quantity]]*Shoe_Sales[[#This Row],[Selling Price]])</f>
        <v>595</v>
      </c>
      <c r="O286" s="12">
        <f>(Shoe_Sales[[#This Row],[Quantity]]*Shoe_Sales[[#This Row],[Cost Price]])</f>
        <v>335</v>
      </c>
      <c r="P286" s="12">
        <f>(Shoe_Sales[[#This Row],[Revenue]]-Shoe_Sales[[#This Row],[Cost]])</f>
        <v>260</v>
      </c>
      <c r="Q286" s="15">
        <f>(Shoe_Sales[[#This Row],[Profit]]/Shoe_Sales[[#This Row],[Revenue]])</f>
        <v>0.43697478991596639</v>
      </c>
    </row>
    <row r="287" spans="1:17" x14ac:dyDescent="0.25">
      <c r="A287" s="9">
        <v>46049</v>
      </c>
      <c r="B287" s="4" t="s">
        <v>47</v>
      </c>
      <c r="C287" s="2" t="str">
        <f t="shared" si="8"/>
        <v>Slippers</v>
      </c>
      <c r="D287" s="4" t="s">
        <v>23</v>
      </c>
      <c r="E287" s="2" t="str">
        <f t="shared" si="9"/>
        <v>Casual</v>
      </c>
      <c r="F287" s="4" t="s">
        <v>19</v>
      </c>
      <c r="G287" s="4" t="s">
        <v>10</v>
      </c>
      <c r="H287" s="4" t="str">
        <f>PROPER(Shoe_Sales[[#This Row],[Brand]])</f>
        <v>Clarks</v>
      </c>
      <c r="I287" s="4" t="s">
        <v>41</v>
      </c>
      <c r="J287" s="5">
        <v>3</v>
      </c>
      <c r="K287" s="4" t="s">
        <v>80</v>
      </c>
      <c r="L287" s="12">
        <f>VLOOKUP(Shoe_Sales[[#This Row],[Product Cleaned]],Price!$A$2:$C$9,2,FALSE)</f>
        <v>119</v>
      </c>
      <c r="M287" s="12">
        <f>VLOOKUP(Shoe_Sales[[#This Row],[Product Cleaned]],Price!$A$2:$C$9,3,0)</f>
        <v>67</v>
      </c>
      <c r="N287" s="12">
        <f>(Shoe_Sales[[#This Row],[Quantity]]*Shoe_Sales[[#This Row],[Selling Price]])</f>
        <v>357</v>
      </c>
      <c r="O287" s="12">
        <f>(Shoe_Sales[[#This Row],[Quantity]]*Shoe_Sales[[#This Row],[Cost Price]])</f>
        <v>201</v>
      </c>
      <c r="P287" s="12">
        <f>(Shoe_Sales[[#This Row],[Revenue]]-Shoe_Sales[[#This Row],[Cost]])</f>
        <v>156</v>
      </c>
      <c r="Q287" s="15">
        <f>(Shoe_Sales[[#This Row],[Profit]]/Shoe_Sales[[#This Row],[Revenue]])</f>
        <v>0.43697478991596639</v>
      </c>
    </row>
    <row r="288" spans="1:17" x14ac:dyDescent="0.25">
      <c r="A288" s="8">
        <v>46138</v>
      </c>
      <c r="B288" s="2" t="s">
        <v>32</v>
      </c>
      <c r="C288" s="2" t="str">
        <f t="shared" si="8"/>
        <v>Oxford</v>
      </c>
      <c r="D288" s="2" t="s">
        <v>48</v>
      </c>
      <c r="E288" s="2" t="str">
        <f t="shared" si="9"/>
        <v>Open</v>
      </c>
      <c r="F288" s="2" t="s">
        <v>19</v>
      </c>
      <c r="G288" s="2" t="s">
        <v>34</v>
      </c>
      <c r="H288" s="2" t="str">
        <f>PROPER(Shoe_Sales[[#This Row],[Brand]])</f>
        <v>Clarks</v>
      </c>
      <c r="I288" s="2" t="s">
        <v>16</v>
      </c>
      <c r="J288" s="3">
        <v>12</v>
      </c>
      <c r="K288" s="2" t="s">
        <v>80</v>
      </c>
      <c r="L288" s="12">
        <f>VLOOKUP(Shoe_Sales[[#This Row],[Product Cleaned]],Price!$A$2:$C$9,2,FALSE)</f>
        <v>105</v>
      </c>
      <c r="M288" s="12">
        <f>VLOOKUP(Shoe_Sales[[#This Row],[Product Cleaned]],Price!$A$2:$C$9,3,0)</f>
        <v>58</v>
      </c>
      <c r="N288" s="12">
        <f>(Shoe_Sales[[#This Row],[Quantity]]*Shoe_Sales[[#This Row],[Selling Price]])</f>
        <v>1260</v>
      </c>
      <c r="O288" s="12">
        <f>(Shoe_Sales[[#This Row],[Quantity]]*Shoe_Sales[[#This Row],[Cost Price]])</f>
        <v>696</v>
      </c>
      <c r="P288" s="12">
        <f>(Shoe_Sales[[#This Row],[Revenue]]-Shoe_Sales[[#This Row],[Cost]])</f>
        <v>564</v>
      </c>
      <c r="Q288" s="15">
        <f>(Shoe_Sales[[#This Row],[Profit]]/Shoe_Sales[[#This Row],[Revenue]])</f>
        <v>0.44761904761904764</v>
      </c>
    </row>
    <row r="289" spans="1:17" x14ac:dyDescent="0.25">
      <c r="A289" s="9">
        <v>46193</v>
      </c>
      <c r="B289" s="4" t="s">
        <v>64</v>
      </c>
      <c r="C289" s="2" t="str">
        <f t="shared" si="8"/>
        <v>Derby</v>
      </c>
      <c r="D289" s="4" t="s">
        <v>39</v>
      </c>
      <c r="E289" s="2" t="str">
        <f t="shared" si="9"/>
        <v>Formal</v>
      </c>
      <c r="F289" s="4" t="s">
        <v>24</v>
      </c>
      <c r="G289" s="4" t="s">
        <v>60</v>
      </c>
      <c r="H289" s="4" t="str">
        <f>PROPER(Shoe_Sales[[#This Row],[Brand]])</f>
        <v>Clarks</v>
      </c>
      <c r="I289" s="4" t="s">
        <v>26</v>
      </c>
      <c r="J289" s="5">
        <v>9</v>
      </c>
      <c r="K289" s="4" t="s">
        <v>80</v>
      </c>
      <c r="L289" s="12">
        <f>VLOOKUP(Shoe_Sales[[#This Row],[Product Cleaned]],Price!$A$2:$C$9,2,FALSE)</f>
        <v>32</v>
      </c>
      <c r="M289" s="12">
        <f>VLOOKUP(Shoe_Sales[[#This Row],[Product Cleaned]],Price!$A$2:$C$9,3,0)</f>
        <v>14</v>
      </c>
      <c r="N289" s="12">
        <f>(Shoe_Sales[[#This Row],[Quantity]]*Shoe_Sales[[#This Row],[Selling Price]])</f>
        <v>288</v>
      </c>
      <c r="O289" s="12">
        <f>(Shoe_Sales[[#This Row],[Quantity]]*Shoe_Sales[[#This Row],[Cost Price]])</f>
        <v>126</v>
      </c>
      <c r="P289" s="12">
        <f>(Shoe_Sales[[#This Row],[Revenue]]-Shoe_Sales[[#This Row],[Cost]])</f>
        <v>162</v>
      </c>
      <c r="Q289" s="15">
        <f>(Shoe_Sales[[#This Row],[Profit]]/Shoe_Sales[[#This Row],[Revenue]])</f>
        <v>0.5625</v>
      </c>
    </row>
    <row r="290" spans="1:17" x14ac:dyDescent="0.25">
      <c r="A290" s="8">
        <v>46124</v>
      </c>
      <c r="B290" s="2" t="s">
        <v>67</v>
      </c>
      <c r="C290" s="2" t="str">
        <f t="shared" si="8"/>
        <v>Slippers</v>
      </c>
      <c r="D290" s="2" t="s">
        <v>33</v>
      </c>
      <c r="E290" s="2" t="str">
        <f t="shared" si="9"/>
        <v>Formal</v>
      </c>
      <c r="F290" s="2" t="s">
        <v>19</v>
      </c>
      <c r="G290" s="2" t="s">
        <v>10</v>
      </c>
      <c r="H290" s="2" t="str">
        <f>PROPER(Shoe_Sales[[#This Row],[Brand]])</f>
        <v>Clarks</v>
      </c>
      <c r="I290" s="2" t="s">
        <v>50</v>
      </c>
      <c r="J290" s="3">
        <v>3</v>
      </c>
      <c r="K290" s="2" t="s">
        <v>82</v>
      </c>
      <c r="L290" s="12">
        <f>VLOOKUP(Shoe_Sales[[#This Row],[Product Cleaned]],Price!$A$2:$C$9,2,FALSE)</f>
        <v>119</v>
      </c>
      <c r="M290" s="12">
        <f>VLOOKUP(Shoe_Sales[[#This Row],[Product Cleaned]],Price!$A$2:$C$9,3,0)</f>
        <v>67</v>
      </c>
      <c r="N290" s="12">
        <f>(Shoe_Sales[[#This Row],[Quantity]]*Shoe_Sales[[#This Row],[Selling Price]])</f>
        <v>357</v>
      </c>
      <c r="O290" s="12">
        <f>(Shoe_Sales[[#This Row],[Quantity]]*Shoe_Sales[[#This Row],[Cost Price]])</f>
        <v>201</v>
      </c>
      <c r="P290" s="12">
        <f>(Shoe_Sales[[#This Row],[Revenue]]-Shoe_Sales[[#This Row],[Cost]])</f>
        <v>156</v>
      </c>
      <c r="Q290" s="15">
        <f>(Shoe_Sales[[#This Row],[Profit]]/Shoe_Sales[[#This Row],[Revenue]])</f>
        <v>0.43697478991596639</v>
      </c>
    </row>
    <row r="291" spans="1:17" x14ac:dyDescent="0.25">
      <c r="A291" s="9">
        <v>46028</v>
      </c>
      <c r="B291" s="4" t="s">
        <v>74</v>
      </c>
      <c r="C291" s="2" t="str">
        <f t="shared" si="8"/>
        <v>Oxford</v>
      </c>
      <c r="D291" s="4" t="s">
        <v>33</v>
      </c>
      <c r="E291" s="2" t="str">
        <f t="shared" si="9"/>
        <v>Formal</v>
      </c>
      <c r="F291" s="4" t="s">
        <v>19</v>
      </c>
      <c r="G291" s="4" t="s">
        <v>69</v>
      </c>
      <c r="H291" s="4" t="str">
        <f>PROPER(Shoe_Sales[[#This Row],[Brand]])</f>
        <v>Nike</v>
      </c>
      <c r="I291" s="4" t="s">
        <v>21</v>
      </c>
      <c r="J291" s="5">
        <v>9</v>
      </c>
      <c r="K291" s="4" t="s">
        <v>79</v>
      </c>
      <c r="L291" s="12">
        <f>VLOOKUP(Shoe_Sales[[#This Row],[Product Cleaned]],Price!$A$2:$C$9,2,FALSE)</f>
        <v>105</v>
      </c>
      <c r="M291" s="12">
        <f>VLOOKUP(Shoe_Sales[[#This Row],[Product Cleaned]],Price!$A$2:$C$9,3,0)</f>
        <v>58</v>
      </c>
      <c r="N291" s="12">
        <f>(Shoe_Sales[[#This Row],[Quantity]]*Shoe_Sales[[#This Row],[Selling Price]])</f>
        <v>945</v>
      </c>
      <c r="O291" s="12">
        <f>(Shoe_Sales[[#This Row],[Quantity]]*Shoe_Sales[[#This Row],[Cost Price]])</f>
        <v>522</v>
      </c>
      <c r="P291" s="12">
        <f>(Shoe_Sales[[#This Row],[Revenue]]-Shoe_Sales[[#This Row],[Cost]])</f>
        <v>423</v>
      </c>
      <c r="Q291" s="15">
        <f>(Shoe_Sales[[#This Row],[Profit]]/Shoe_Sales[[#This Row],[Revenue]])</f>
        <v>0.44761904761904764</v>
      </c>
    </row>
    <row r="292" spans="1:17" x14ac:dyDescent="0.25">
      <c r="A292" s="8">
        <v>46090</v>
      </c>
      <c r="B292" s="2" t="s">
        <v>75</v>
      </c>
      <c r="C292" s="2" t="str">
        <f t="shared" si="8"/>
        <v>Brogues</v>
      </c>
      <c r="D292" s="2" t="s">
        <v>8</v>
      </c>
      <c r="E292" s="2" t="str">
        <f t="shared" si="9"/>
        <v>Formal</v>
      </c>
      <c r="F292" s="2" t="s">
        <v>24</v>
      </c>
      <c r="G292" s="2" t="s">
        <v>25</v>
      </c>
      <c r="H292" s="2" t="str">
        <f>PROPER(Shoe_Sales[[#This Row],[Brand]])</f>
        <v>Zara</v>
      </c>
      <c r="I292" s="2" t="s">
        <v>26</v>
      </c>
      <c r="J292" s="3">
        <v>2</v>
      </c>
      <c r="K292" s="2" t="s">
        <v>80</v>
      </c>
      <c r="L292" s="12">
        <f>VLOOKUP(Shoe_Sales[[#This Row],[Product Cleaned]],Price!$A$2:$C$9,2,FALSE)</f>
        <v>112</v>
      </c>
      <c r="M292" s="12">
        <f>VLOOKUP(Shoe_Sales[[#This Row],[Product Cleaned]],Price!$A$2:$C$9,3,0)</f>
        <v>64</v>
      </c>
      <c r="N292" s="12">
        <f>(Shoe_Sales[[#This Row],[Quantity]]*Shoe_Sales[[#This Row],[Selling Price]])</f>
        <v>224</v>
      </c>
      <c r="O292" s="12">
        <f>(Shoe_Sales[[#This Row],[Quantity]]*Shoe_Sales[[#This Row],[Cost Price]])</f>
        <v>128</v>
      </c>
      <c r="P292" s="12">
        <f>(Shoe_Sales[[#This Row],[Revenue]]-Shoe_Sales[[#This Row],[Cost]])</f>
        <v>96</v>
      </c>
      <c r="Q292" s="15">
        <f>(Shoe_Sales[[#This Row],[Profit]]/Shoe_Sales[[#This Row],[Revenue]])</f>
        <v>0.42857142857142855</v>
      </c>
    </row>
    <row r="293" spans="1:17" x14ac:dyDescent="0.25">
      <c r="A293" s="9">
        <v>46182</v>
      </c>
      <c r="B293" s="4" t="s">
        <v>55</v>
      </c>
      <c r="C293" s="2" t="str">
        <f t="shared" si="8"/>
        <v>Boots</v>
      </c>
      <c r="D293" s="4" t="s">
        <v>13</v>
      </c>
      <c r="E293" s="2" t="str">
        <f t="shared" si="9"/>
        <v>Casual</v>
      </c>
      <c r="F293" s="4" t="s">
        <v>24</v>
      </c>
      <c r="G293" s="4" t="s">
        <v>69</v>
      </c>
      <c r="H293" s="4" t="str">
        <f>PROPER(Shoe_Sales[[#This Row],[Brand]])</f>
        <v>Nike</v>
      </c>
      <c r="I293" s="4" t="s">
        <v>61</v>
      </c>
      <c r="J293" s="5">
        <v>6</v>
      </c>
      <c r="K293" s="4" t="s">
        <v>79</v>
      </c>
      <c r="L293" s="12">
        <f>VLOOKUP(Shoe_Sales[[#This Row],[Product Cleaned]],Price!$A$2:$C$9,2,FALSE)</f>
        <v>76</v>
      </c>
      <c r="M293" s="12">
        <f>VLOOKUP(Shoe_Sales[[#This Row],[Product Cleaned]],Price!$A$2:$C$9,3,0)</f>
        <v>39</v>
      </c>
      <c r="N293" s="12">
        <f>(Shoe_Sales[[#This Row],[Quantity]]*Shoe_Sales[[#This Row],[Selling Price]])</f>
        <v>456</v>
      </c>
      <c r="O293" s="12">
        <f>(Shoe_Sales[[#This Row],[Quantity]]*Shoe_Sales[[#This Row],[Cost Price]])</f>
        <v>234</v>
      </c>
      <c r="P293" s="12">
        <f>(Shoe_Sales[[#This Row],[Revenue]]-Shoe_Sales[[#This Row],[Cost]])</f>
        <v>222</v>
      </c>
      <c r="Q293" s="15">
        <f>(Shoe_Sales[[#This Row],[Profit]]/Shoe_Sales[[#This Row],[Revenue]])</f>
        <v>0.48684210526315791</v>
      </c>
    </row>
    <row r="294" spans="1:17" x14ac:dyDescent="0.25">
      <c r="A294" s="8">
        <v>46091</v>
      </c>
      <c r="B294" s="2" t="s">
        <v>59</v>
      </c>
      <c r="C294" s="2" t="str">
        <f t="shared" si="8"/>
        <v>Oxford</v>
      </c>
      <c r="D294" s="2" t="s">
        <v>39</v>
      </c>
      <c r="E294" s="2" t="str">
        <f t="shared" si="9"/>
        <v>Formal</v>
      </c>
      <c r="F294" s="2" t="s">
        <v>9</v>
      </c>
      <c r="G294" s="2" t="s">
        <v>57</v>
      </c>
      <c r="H294" s="2" t="str">
        <f>PROPER(Shoe_Sales[[#This Row],[Brand]])</f>
        <v>Timberland</v>
      </c>
      <c r="I294" s="2" t="s">
        <v>35</v>
      </c>
      <c r="J294" s="3">
        <v>14</v>
      </c>
      <c r="K294" s="2" t="s">
        <v>80</v>
      </c>
      <c r="L294" s="12">
        <f>VLOOKUP(Shoe_Sales[[#This Row],[Product Cleaned]],Price!$A$2:$C$9,2,FALSE)</f>
        <v>105</v>
      </c>
      <c r="M294" s="12">
        <f>VLOOKUP(Shoe_Sales[[#This Row],[Product Cleaned]],Price!$A$2:$C$9,3,0)</f>
        <v>58</v>
      </c>
      <c r="N294" s="12">
        <f>(Shoe_Sales[[#This Row],[Quantity]]*Shoe_Sales[[#This Row],[Selling Price]])</f>
        <v>1470</v>
      </c>
      <c r="O294" s="12">
        <f>(Shoe_Sales[[#This Row],[Quantity]]*Shoe_Sales[[#This Row],[Cost Price]])</f>
        <v>812</v>
      </c>
      <c r="P294" s="12">
        <f>(Shoe_Sales[[#This Row],[Revenue]]-Shoe_Sales[[#This Row],[Cost]])</f>
        <v>658</v>
      </c>
      <c r="Q294" s="15">
        <f>(Shoe_Sales[[#This Row],[Profit]]/Shoe_Sales[[#This Row],[Revenue]])</f>
        <v>0.44761904761904764</v>
      </c>
    </row>
    <row r="295" spans="1:17" x14ac:dyDescent="0.25">
      <c r="A295" s="9">
        <v>46037</v>
      </c>
      <c r="B295" s="4" t="s">
        <v>22</v>
      </c>
      <c r="C295" s="2" t="str">
        <f t="shared" si="8"/>
        <v>Loafers</v>
      </c>
      <c r="D295" s="4" t="s">
        <v>39</v>
      </c>
      <c r="E295" s="2" t="str">
        <f t="shared" si="9"/>
        <v>Formal</v>
      </c>
      <c r="F295" s="4" t="s">
        <v>19</v>
      </c>
      <c r="G295" s="4" t="s">
        <v>40</v>
      </c>
      <c r="H295" s="4" t="str">
        <f>PROPER(Shoe_Sales[[#This Row],[Brand]])</f>
        <v>Zara</v>
      </c>
      <c r="I295" s="4" t="s">
        <v>61</v>
      </c>
      <c r="J295" s="5">
        <v>7</v>
      </c>
      <c r="K295" s="4" t="s">
        <v>81</v>
      </c>
      <c r="L295" s="12">
        <f>VLOOKUP(Shoe_Sales[[#This Row],[Product Cleaned]],Price!$A$2:$C$9,2,FALSE)</f>
        <v>54</v>
      </c>
      <c r="M295" s="12">
        <f>VLOOKUP(Shoe_Sales[[#This Row],[Product Cleaned]],Price!$A$2:$C$9,3,0)</f>
        <v>28</v>
      </c>
      <c r="N295" s="12">
        <f>(Shoe_Sales[[#This Row],[Quantity]]*Shoe_Sales[[#This Row],[Selling Price]])</f>
        <v>378</v>
      </c>
      <c r="O295" s="12">
        <f>(Shoe_Sales[[#This Row],[Quantity]]*Shoe_Sales[[#This Row],[Cost Price]])</f>
        <v>196</v>
      </c>
      <c r="P295" s="12">
        <f>(Shoe_Sales[[#This Row],[Revenue]]-Shoe_Sales[[#This Row],[Cost]])</f>
        <v>182</v>
      </c>
      <c r="Q295" s="15">
        <f>(Shoe_Sales[[#This Row],[Profit]]/Shoe_Sales[[#This Row],[Revenue]])</f>
        <v>0.48148148148148145</v>
      </c>
    </row>
    <row r="296" spans="1:17" x14ac:dyDescent="0.25">
      <c r="A296" s="8">
        <v>46073</v>
      </c>
      <c r="B296" s="2" t="s">
        <v>55</v>
      </c>
      <c r="C296" s="2" t="str">
        <f t="shared" si="8"/>
        <v>Boots</v>
      </c>
      <c r="D296" s="2" t="s">
        <v>18</v>
      </c>
      <c r="E296" s="2" t="str">
        <f t="shared" si="9"/>
        <v>Open</v>
      </c>
      <c r="F296" s="2" t="s">
        <v>19</v>
      </c>
      <c r="G296" s="2" t="s">
        <v>25</v>
      </c>
      <c r="H296" s="2" t="str">
        <f>PROPER(Shoe_Sales[[#This Row],[Brand]])</f>
        <v>Zara</v>
      </c>
      <c r="I296" s="2" t="s">
        <v>43</v>
      </c>
      <c r="J296" s="3">
        <v>8</v>
      </c>
      <c r="K296" s="2" t="s">
        <v>82</v>
      </c>
      <c r="L296" s="12">
        <f>VLOOKUP(Shoe_Sales[[#This Row],[Product Cleaned]],Price!$A$2:$C$9,2,FALSE)</f>
        <v>76</v>
      </c>
      <c r="M296" s="12">
        <f>VLOOKUP(Shoe_Sales[[#This Row],[Product Cleaned]],Price!$A$2:$C$9,3,0)</f>
        <v>39</v>
      </c>
      <c r="N296" s="12">
        <f>(Shoe_Sales[[#This Row],[Quantity]]*Shoe_Sales[[#This Row],[Selling Price]])</f>
        <v>608</v>
      </c>
      <c r="O296" s="12">
        <f>(Shoe_Sales[[#This Row],[Quantity]]*Shoe_Sales[[#This Row],[Cost Price]])</f>
        <v>312</v>
      </c>
      <c r="P296" s="12">
        <f>(Shoe_Sales[[#This Row],[Revenue]]-Shoe_Sales[[#This Row],[Cost]])</f>
        <v>296</v>
      </c>
      <c r="Q296" s="15">
        <f>(Shoe_Sales[[#This Row],[Profit]]/Shoe_Sales[[#This Row],[Revenue]])</f>
        <v>0.48684210526315791</v>
      </c>
    </row>
    <row r="297" spans="1:17" x14ac:dyDescent="0.25">
      <c r="A297" s="9">
        <v>46147</v>
      </c>
      <c r="B297" s="4" t="s">
        <v>7</v>
      </c>
      <c r="C297" s="2" t="str">
        <f t="shared" si="8"/>
        <v>Derby</v>
      </c>
      <c r="D297" s="4" t="s">
        <v>13</v>
      </c>
      <c r="E297" s="2" t="str">
        <f t="shared" si="9"/>
        <v>Casual</v>
      </c>
      <c r="F297" s="4" t="s">
        <v>19</v>
      </c>
      <c r="G297" s="4" t="s">
        <v>40</v>
      </c>
      <c r="H297" s="4" t="str">
        <f>PROPER(Shoe_Sales[[#This Row],[Brand]])</f>
        <v>Zara</v>
      </c>
      <c r="I297" s="4" t="s">
        <v>26</v>
      </c>
      <c r="J297" s="5">
        <v>1</v>
      </c>
      <c r="K297" s="4" t="s">
        <v>82</v>
      </c>
      <c r="L297" s="12">
        <f>VLOOKUP(Shoe_Sales[[#This Row],[Product Cleaned]],Price!$A$2:$C$9,2,FALSE)</f>
        <v>32</v>
      </c>
      <c r="M297" s="12">
        <f>VLOOKUP(Shoe_Sales[[#This Row],[Product Cleaned]],Price!$A$2:$C$9,3,0)</f>
        <v>14</v>
      </c>
      <c r="N297" s="12">
        <f>(Shoe_Sales[[#This Row],[Quantity]]*Shoe_Sales[[#This Row],[Selling Price]])</f>
        <v>32</v>
      </c>
      <c r="O297" s="12">
        <f>(Shoe_Sales[[#This Row],[Quantity]]*Shoe_Sales[[#This Row],[Cost Price]])</f>
        <v>14</v>
      </c>
      <c r="P297" s="12">
        <f>(Shoe_Sales[[#This Row],[Revenue]]-Shoe_Sales[[#This Row],[Cost]])</f>
        <v>18</v>
      </c>
      <c r="Q297" s="15">
        <f>(Shoe_Sales[[#This Row],[Profit]]/Shoe_Sales[[#This Row],[Revenue]])</f>
        <v>0.5625</v>
      </c>
    </row>
    <row r="298" spans="1:17" x14ac:dyDescent="0.25">
      <c r="A298" s="8">
        <v>46068</v>
      </c>
      <c r="B298" s="2" t="s">
        <v>70</v>
      </c>
      <c r="C298" s="2" t="str">
        <f t="shared" si="8"/>
        <v>Loafers</v>
      </c>
      <c r="D298" s="2" t="s">
        <v>39</v>
      </c>
      <c r="E298" s="2" t="str">
        <f t="shared" si="9"/>
        <v>Formal</v>
      </c>
      <c r="F298" s="2" t="s">
        <v>19</v>
      </c>
      <c r="G298" s="2" t="s">
        <v>60</v>
      </c>
      <c r="H298" s="2" t="str">
        <f>PROPER(Shoe_Sales[[#This Row],[Brand]])</f>
        <v>Clarks</v>
      </c>
      <c r="I298" s="2" t="s">
        <v>37</v>
      </c>
      <c r="J298" s="3">
        <v>9</v>
      </c>
      <c r="K298" s="2" t="s">
        <v>79</v>
      </c>
      <c r="L298" s="12">
        <f>VLOOKUP(Shoe_Sales[[#This Row],[Product Cleaned]],Price!$A$2:$C$9,2,FALSE)</f>
        <v>54</v>
      </c>
      <c r="M298" s="12">
        <f>VLOOKUP(Shoe_Sales[[#This Row],[Product Cleaned]],Price!$A$2:$C$9,3,0)</f>
        <v>28</v>
      </c>
      <c r="N298" s="12">
        <f>(Shoe_Sales[[#This Row],[Quantity]]*Shoe_Sales[[#This Row],[Selling Price]])</f>
        <v>486</v>
      </c>
      <c r="O298" s="12">
        <f>(Shoe_Sales[[#This Row],[Quantity]]*Shoe_Sales[[#This Row],[Cost Price]])</f>
        <v>252</v>
      </c>
      <c r="P298" s="12">
        <f>(Shoe_Sales[[#This Row],[Revenue]]-Shoe_Sales[[#This Row],[Cost]])</f>
        <v>234</v>
      </c>
      <c r="Q298" s="15">
        <f>(Shoe_Sales[[#This Row],[Profit]]/Shoe_Sales[[#This Row],[Revenue]])</f>
        <v>0.48148148148148145</v>
      </c>
    </row>
    <row r="299" spans="1:17" x14ac:dyDescent="0.25">
      <c r="A299" s="9">
        <v>46163</v>
      </c>
      <c r="B299" s="4" t="s">
        <v>7</v>
      </c>
      <c r="C299" s="2" t="str">
        <f t="shared" si="8"/>
        <v>Derby</v>
      </c>
      <c r="D299" s="4" t="s">
        <v>52</v>
      </c>
      <c r="E299" s="2" t="str">
        <f t="shared" si="9"/>
        <v>Casual</v>
      </c>
      <c r="F299" s="4" t="s">
        <v>19</v>
      </c>
      <c r="G299" s="4" t="s">
        <v>53</v>
      </c>
      <c r="H299" s="4" t="str">
        <f>PROPER(Shoe_Sales[[#This Row],[Brand]])</f>
        <v>Zara</v>
      </c>
      <c r="I299" s="4" t="s">
        <v>37</v>
      </c>
      <c r="J299" s="5">
        <v>1</v>
      </c>
      <c r="K299" s="4" t="s">
        <v>81</v>
      </c>
      <c r="L299" s="12">
        <f>VLOOKUP(Shoe_Sales[[#This Row],[Product Cleaned]],Price!$A$2:$C$9,2,FALSE)</f>
        <v>32</v>
      </c>
      <c r="M299" s="12">
        <f>VLOOKUP(Shoe_Sales[[#This Row],[Product Cleaned]],Price!$A$2:$C$9,3,0)</f>
        <v>14</v>
      </c>
      <c r="N299" s="12">
        <f>(Shoe_Sales[[#This Row],[Quantity]]*Shoe_Sales[[#This Row],[Selling Price]])</f>
        <v>32</v>
      </c>
      <c r="O299" s="12">
        <f>(Shoe_Sales[[#This Row],[Quantity]]*Shoe_Sales[[#This Row],[Cost Price]])</f>
        <v>14</v>
      </c>
      <c r="P299" s="12">
        <f>(Shoe_Sales[[#This Row],[Revenue]]-Shoe_Sales[[#This Row],[Cost]])</f>
        <v>18</v>
      </c>
      <c r="Q299" s="15">
        <f>(Shoe_Sales[[#This Row],[Profit]]/Shoe_Sales[[#This Row],[Revenue]])</f>
        <v>0.5625</v>
      </c>
    </row>
    <row r="300" spans="1:17" x14ac:dyDescent="0.25">
      <c r="A300" s="8">
        <v>46236</v>
      </c>
      <c r="B300" s="2" t="s">
        <v>51</v>
      </c>
      <c r="C300" s="2" t="str">
        <f t="shared" si="8"/>
        <v>Loafers</v>
      </c>
      <c r="D300" s="2" t="s">
        <v>33</v>
      </c>
      <c r="E300" s="2" t="str">
        <f t="shared" si="9"/>
        <v>Formal</v>
      </c>
      <c r="F300" s="2" t="s">
        <v>19</v>
      </c>
      <c r="G300" s="2" t="s">
        <v>49</v>
      </c>
      <c r="H300" s="2" t="str">
        <f>PROPER(Shoe_Sales[[#This Row],[Brand]])</f>
        <v>Nike</v>
      </c>
      <c r="I300" s="2" t="s">
        <v>46</v>
      </c>
      <c r="J300" s="3">
        <v>14</v>
      </c>
      <c r="K300" s="2" t="s">
        <v>81</v>
      </c>
      <c r="L300" s="12">
        <f>VLOOKUP(Shoe_Sales[[#This Row],[Product Cleaned]],Price!$A$2:$C$9,2,FALSE)</f>
        <v>54</v>
      </c>
      <c r="M300" s="12">
        <f>VLOOKUP(Shoe_Sales[[#This Row],[Product Cleaned]],Price!$A$2:$C$9,3,0)</f>
        <v>28</v>
      </c>
      <c r="N300" s="12">
        <f>(Shoe_Sales[[#This Row],[Quantity]]*Shoe_Sales[[#This Row],[Selling Price]])</f>
        <v>756</v>
      </c>
      <c r="O300" s="12">
        <f>(Shoe_Sales[[#This Row],[Quantity]]*Shoe_Sales[[#This Row],[Cost Price]])</f>
        <v>392</v>
      </c>
      <c r="P300" s="12">
        <f>(Shoe_Sales[[#This Row],[Revenue]]-Shoe_Sales[[#This Row],[Cost]])</f>
        <v>364</v>
      </c>
      <c r="Q300" s="15">
        <f>(Shoe_Sales[[#This Row],[Profit]]/Shoe_Sales[[#This Row],[Revenue]])</f>
        <v>0.48148148148148145</v>
      </c>
    </row>
    <row r="301" spans="1:17" x14ac:dyDescent="0.25">
      <c r="A301" s="9">
        <v>46175</v>
      </c>
      <c r="B301" s="4" t="s">
        <v>67</v>
      </c>
      <c r="C301" s="2" t="str">
        <f t="shared" si="8"/>
        <v>Slippers</v>
      </c>
      <c r="D301" s="4" t="s">
        <v>23</v>
      </c>
      <c r="E301" s="2" t="str">
        <f t="shared" si="9"/>
        <v>Casual</v>
      </c>
      <c r="F301" s="4" t="s">
        <v>14</v>
      </c>
      <c r="G301" s="4" t="s">
        <v>30</v>
      </c>
      <c r="H301" s="4" t="str">
        <f>PROPER(Shoe_Sales[[#This Row],[Brand]])</f>
        <v>Timberland</v>
      </c>
      <c r="I301" s="4" t="s">
        <v>21</v>
      </c>
      <c r="J301" s="5">
        <v>7</v>
      </c>
      <c r="K301" s="4" t="s">
        <v>80</v>
      </c>
      <c r="L301" s="12">
        <f>VLOOKUP(Shoe_Sales[[#This Row],[Product Cleaned]],Price!$A$2:$C$9,2,FALSE)</f>
        <v>119</v>
      </c>
      <c r="M301" s="12">
        <f>VLOOKUP(Shoe_Sales[[#This Row],[Product Cleaned]],Price!$A$2:$C$9,3,0)</f>
        <v>67</v>
      </c>
      <c r="N301" s="12">
        <f>(Shoe_Sales[[#This Row],[Quantity]]*Shoe_Sales[[#This Row],[Selling Price]])</f>
        <v>833</v>
      </c>
      <c r="O301" s="12">
        <f>(Shoe_Sales[[#This Row],[Quantity]]*Shoe_Sales[[#This Row],[Cost Price]])</f>
        <v>469</v>
      </c>
      <c r="P301" s="12">
        <f>(Shoe_Sales[[#This Row],[Revenue]]-Shoe_Sales[[#This Row],[Cost]])</f>
        <v>364</v>
      </c>
      <c r="Q301" s="15">
        <f>(Shoe_Sales[[#This Row],[Profit]]/Shoe_Sales[[#This Row],[Revenue]])</f>
        <v>0.43697478991596639</v>
      </c>
    </row>
    <row r="302" spans="1:17" x14ac:dyDescent="0.25">
      <c r="A302" s="8">
        <v>46076</v>
      </c>
      <c r="B302" s="2" t="s">
        <v>27</v>
      </c>
      <c r="C302" s="2" t="str">
        <f t="shared" si="8"/>
        <v>Boots</v>
      </c>
      <c r="D302" s="2" t="s">
        <v>72</v>
      </c>
      <c r="E302" s="2" t="str">
        <f t="shared" si="9"/>
        <v>Utility</v>
      </c>
      <c r="F302" s="2" t="s">
        <v>9</v>
      </c>
      <c r="G302" s="2" t="s">
        <v>34</v>
      </c>
      <c r="H302" s="2" t="str">
        <f>PROPER(Shoe_Sales[[#This Row],[Brand]])</f>
        <v>Clarks</v>
      </c>
      <c r="I302" s="2" t="s">
        <v>54</v>
      </c>
      <c r="J302" s="3">
        <v>6</v>
      </c>
      <c r="K302" s="2" t="s">
        <v>79</v>
      </c>
      <c r="L302" s="12">
        <f>VLOOKUP(Shoe_Sales[[#This Row],[Product Cleaned]],Price!$A$2:$C$9,2,FALSE)</f>
        <v>76</v>
      </c>
      <c r="M302" s="12">
        <f>VLOOKUP(Shoe_Sales[[#This Row],[Product Cleaned]],Price!$A$2:$C$9,3,0)</f>
        <v>39</v>
      </c>
      <c r="N302" s="12">
        <f>(Shoe_Sales[[#This Row],[Quantity]]*Shoe_Sales[[#This Row],[Selling Price]])</f>
        <v>456</v>
      </c>
      <c r="O302" s="12">
        <f>(Shoe_Sales[[#This Row],[Quantity]]*Shoe_Sales[[#This Row],[Cost Price]])</f>
        <v>234</v>
      </c>
      <c r="P302" s="12">
        <f>(Shoe_Sales[[#This Row],[Revenue]]-Shoe_Sales[[#This Row],[Cost]])</f>
        <v>222</v>
      </c>
      <c r="Q302" s="15">
        <f>(Shoe_Sales[[#This Row],[Profit]]/Shoe_Sales[[#This Row],[Revenue]])</f>
        <v>0.48684210526315791</v>
      </c>
    </row>
    <row r="303" spans="1:17" x14ac:dyDescent="0.25">
      <c r="A303" s="9">
        <v>46177</v>
      </c>
      <c r="B303" s="4" t="s">
        <v>51</v>
      </c>
      <c r="C303" s="2" t="str">
        <f t="shared" si="8"/>
        <v>Loafers</v>
      </c>
      <c r="D303" s="4" t="s">
        <v>68</v>
      </c>
      <c r="E303" s="2" t="str">
        <f t="shared" si="9"/>
        <v>Open</v>
      </c>
      <c r="F303" s="4" t="s">
        <v>19</v>
      </c>
      <c r="G303" s="4" t="s">
        <v>34</v>
      </c>
      <c r="H303" s="4" t="str">
        <f>PROPER(Shoe_Sales[[#This Row],[Brand]])</f>
        <v>Clarks</v>
      </c>
      <c r="I303" s="4" t="s">
        <v>58</v>
      </c>
      <c r="J303" s="5">
        <v>6</v>
      </c>
      <c r="K303" s="4" t="s">
        <v>80</v>
      </c>
      <c r="L303" s="12">
        <f>VLOOKUP(Shoe_Sales[[#This Row],[Product Cleaned]],Price!$A$2:$C$9,2,FALSE)</f>
        <v>54</v>
      </c>
      <c r="M303" s="12">
        <f>VLOOKUP(Shoe_Sales[[#This Row],[Product Cleaned]],Price!$A$2:$C$9,3,0)</f>
        <v>28</v>
      </c>
      <c r="N303" s="12">
        <f>(Shoe_Sales[[#This Row],[Quantity]]*Shoe_Sales[[#This Row],[Selling Price]])</f>
        <v>324</v>
      </c>
      <c r="O303" s="12">
        <f>(Shoe_Sales[[#This Row],[Quantity]]*Shoe_Sales[[#This Row],[Cost Price]])</f>
        <v>168</v>
      </c>
      <c r="P303" s="12">
        <f>(Shoe_Sales[[#This Row],[Revenue]]-Shoe_Sales[[#This Row],[Cost]])</f>
        <v>156</v>
      </c>
      <c r="Q303" s="15">
        <f>(Shoe_Sales[[#This Row],[Profit]]/Shoe_Sales[[#This Row],[Revenue]])</f>
        <v>0.48148148148148145</v>
      </c>
    </row>
    <row r="304" spans="1:17" x14ac:dyDescent="0.25">
      <c r="A304" s="8">
        <v>46161</v>
      </c>
      <c r="B304" s="2" t="s">
        <v>74</v>
      </c>
      <c r="C304" s="2" t="str">
        <f t="shared" si="8"/>
        <v>Oxford</v>
      </c>
      <c r="D304" s="2" t="s">
        <v>23</v>
      </c>
      <c r="E304" s="2" t="str">
        <f t="shared" si="9"/>
        <v>Casual</v>
      </c>
      <c r="F304" s="2" t="s">
        <v>19</v>
      </c>
      <c r="G304" s="2" t="s">
        <v>10</v>
      </c>
      <c r="H304" s="2" t="str">
        <f>PROPER(Shoe_Sales[[#This Row],[Brand]])</f>
        <v>Clarks</v>
      </c>
      <c r="I304" s="2" t="s">
        <v>58</v>
      </c>
      <c r="J304" s="3">
        <v>4</v>
      </c>
      <c r="K304" s="2" t="s">
        <v>79</v>
      </c>
      <c r="L304" s="12">
        <f>VLOOKUP(Shoe_Sales[[#This Row],[Product Cleaned]],Price!$A$2:$C$9,2,FALSE)</f>
        <v>105</v>
      </c>
      <c r="M304" s="12">
        <f>VLOOKUP(Shoe_Sales[[#This Row],[Product Cleaned]],Price!$A$2:$C$9,3,0)</f>
        <v>58</v>
      </c>
      <c r="N304" s="12">
        <f>(Shoe_Sales[[#This Row],[Quantity]]*Shoe_Sales[[#This Row],[Selling Price]])</f>
        <v>420</v>
      </c>
      <c r="O304" s="12">
        <f>(Shoe_Sales[[#This Row],[Quantity]]*Shoe_Sales[[#This Row],[Cost Price]])</f>
        <v>232</v>
      </c>
      <c r="P304" s="12">
        <f>(Shoe_Sales[[#This Row],[Revenue]]-Shoe_Sales[[#This Row],[Cost]])</f>
        <v>188</v>
      </c>
      <c r="Q304" s="15">
        <f>(Shoe_Sales[[#This Row],[Profit]]/Shoe_Sales[[#This Row],[Revenue]])</f>
        <v>0.44761904761904764</v>
      </c>
    </row>
    <row r="305" spans="1:17" x14ac:dyDescent="0.25">
      <c r="A305" s="9">
        <v>46200</v>
      </c>
      <c r="B305" s="4" t="s">
        <v>63</v>
      </c>
      <c r="C305" s="2" t="str">
        <f t="shared" si="8"/>
        <v>Monk Straps</v>
      </c>
      <c r="D305" s="4" t="s">
        <v>28</v>
      </c>
      <c r="E305" s="2" t="str">
        <f t="shared" si="9"/>
        <v>Utility</v>
      </c>
      <c r="F305" s="4" t="s">
        <v>24</v>
      </c>
      <c r="G305" s="4" t="s">
        <v>15</v>
      </c>
      <c r="H305" s="4" t="str">
        <f>PROPER(Shoe_Sales[[#This Row],[Brand]])</f>
        <v>Steve Madden</v>
      </c>
      <c r="I305" s="4" t="s">
        <v>37</v>
      </c>
      <c r="J305" s="5">
        <v>12</v>
      </c>
      <c r="K305" s="4" t="s">
        <v>81</v>
      </c>
      <c r="L305" s="12">
        <f>VLOOKUP(Shoe_Sales[[#This Row],[Product Cleaned]],Price!$A$2:$C$9,2,FALSE)</f>
        <v>89</v>
      </c>
      <c r="M305" s="12">
        <f>VLOOKUP(Shoe_Sales[[#This Row],[Product Cleaned]],Price!$A$2:$C$9,3,0)</f>
        <v>47</v>
      </c>
      <c r="N305" s="12">
        <f>(Shoe_Sales[[#This Row],[Quantity]]*Shoe_Sales[[#This Row],[Selling Price]])</f>
        <v>1068</v>
      </c>
      <c r="O305" s="12">
        <f>(Shoe_Sales[[#This Row],[Quantity]]*Shoe_Sales[[#This Row],[Cost Price]])</f>
        <v>564</v>
      </c>
      <c r="P305" s="12">
        <f>(Shoe_Sales[[#This Row],[Revenue]]-Shoe_Sales[[#This Row],[Cost]])</f>
        <v>504</v>
      </c>
      <c r="Q305" s="15">
        <f>(Shoe_Sales[[#This Row],[Profit]]/Shoe_Sales[[#This Row],[Revenue]])</f>
        <v>0.47191011235955055</v>
      </c>
    </row>
    <row r="306" spans="1:17" x14ac:dyDescent="0.25">
      <c r="A306" s="8">
        <v>46025</v>
      </c>
      <c r="B306" s="2" t="s">
        <v>27</v>
      </c>
      <c r="C306" s="2" t="str">
        <f t="shared" si="8"/>
        <v>Boots</v>
      </c>
      <c r="D306" s="2" t="s">
        <v>8</v>
      </c>
      <c r="E306" s="2" t="str">
        <f t="shared" si="9"/>
        <v>Formal</v>
      </c>
      <c r="F306" s="2" t="s">
        <v>24</v>
      </c>
      <c r="G306" s="2" t="s">
        <v>34</v>
      </c>
      <c r="H306" s="2" t="str">
        <f>PROPER(Shoe_Sales[[#This Row],[Brand]])</f>
        <v>Clarks</v>
      </c>
      <c r="I306" s="2" t="s">
        <v>31</v>
      </c>
      <c r="J306" s="3">
        <v>13</v>
      </c>
      <c r="K306" s="2" t="s">
        <v>80</v>
      </c>
      <c r="L306" s="12">
        <f>VLOOKUP(Shoe_Sales[[#This Row],[Product Cleaned]],Price!$A$2:$C$9,2,FALSE)</f>
        <v>76</v>
      </c>
      <c r="M306" s="12">
        <f>VLOOKUP(Shoe_Sales[[#This Row],[Product Cleaned]],Price!$A$2:$C$9,3,0)</f>
        <v>39</v>
      </c>
      <c r="N306" s="12">
        <f>(Shoe_Sales[[#This Row],[Quantity]]*Shoe_Sales[[#This Row],[Selling Price]])</f>
        <v>988</v>
      </c>
      <c r="O306" s="12">
        <f>(Shoe_Sales[[#This Row],[Quantity]]*Shoe_Sales[[#This Row],[Cost Price]])</f>
        <v>507</v>
      </c>
      <c r="P306" s="12">
        <f>(Shoe_Sales[[#This Row],[Revenue]]-Shoe_Sales[[#This Row],[Cost]])</f>
        <v>481</v>
      </c>
      <c r="Q306" s="15">
        <f>(Shoe_Sales[[#This Row],[Profit]]/Shoe_Sales[[#This Row],[Revenue]])</f>
        <v>0.48684210526315791</v>
      </c>
    </row>
    <row r="307" spans="1:17" x14ac:dyDescent="0.25">
      <c r="A307" s="9">
        <v>46175</v>
      </c>
      <c r="B307" s="4" t="s">
        <v>22</v>
      </c>
      <c r="C307" s="2" t="str">
        <f t="shared" si="8"/>
        <v>Loafers</v>
      </c>
      <c r="D307" s="4" t="s">
        <v>33</v>
      </c>
      <c r="E307" s="2" t="str">
        <f t="shared" si="9"/>
        <v>Formal</v>
      </c>
      <c r="F307" s="4" t="s">
        <v>19</v>
      </c>
      <c r="G307" s="4" t="s">
        <v>40</v>
      </c>
      <c r="H307" s="4" t="str">
        <f>PROPER(Shoe_Sales[[#This Row],[Brand]])</f>
        <v>Zara</v>
      </c>
      <c r="I307" s="4" t="s">
        <v>37</v>
      </c>
      <c r="J307" s="5">
        <v>6</v>
      </c>
      <c r="K307" s="4" t="s">
        <v>81</v>
      </c>
      <c r="L307" s="12">
        <f>VLOOKUP(Shoe_Sales[[#This Row],[Product Cleaned]],Price!$A$2:$C$9,2,FALSE)</f>
        <v>54</v>
      </c>
      <c r="M307" s="12">
        <f>VLOOKUP(Shoe_Sales[[#This Row],[Product Cleaned]],Price!$A$2:$C$9,3,0)</f>
        <v>28</v>
      </c>
      <c r="N307" s="12">
        <f>(Shoe_Sales[[#This Row],[Quantity]]*Shoe_Sales[[#This Row],[Selling Price]])</f>
        <v>324</v>
      </c>
      <c r="O307" s="12">
        <f>(Shoe_Sales[[#This Row],[Quantity]]*Shoe_Sales[[#This Row],[Cost Price]])</f>
        <v>168</v>
      </c>
      <c r="P307" s="12">
        <f>(Shoe_Sales[[#This Row],[Revenue]]-Shoe_Sales[[#This Row],[Cost]])</f>
        <v>156</v>
      </c>
      <c r="Q307" s="15">
        <f>(Shoe_Sales[[#This Row],[Profit]]/Shoe_Sales[[#This Row],[Revenue]])</f>
        <v>0.48148148148148145</v>
      </c>
    </row>
    <row r="308" spans="1:17" x14ac:dyDescent="0.25">
      <c r="A308" s="8">
        <v>46127</v>
      </c>
      <c r="B308" s="2" t="s">
        <v>62</v>
      </c>
      <c r="C308" s="2" t="str">
        <f t="shared" si="8"/>
        <v>Brogues</v>
      </c>
      <c r="D308" s="2" t="s">
        <v>39</v>
      </c>
      <c r="E308" s="2" t="str">
        <f t="shared" si="9"/>
        <v>Formal</v>
      </c>
      <c r="F308" s="2" t="s">
        <v>29</v>
      </c>
      <c r="G308" s="2" t="s">
        <v>69</v>
      </c>
      <c r="H308" s="2" t="str">
        <f>PROPER(Shoe_Sales[[#This Row],[Brand]])</f>
        <v>Nike</v>
      </c>
      <c r="I308" s="2" t="s">
        <v>35</v>
      </c>
      <c r="J308" s="3">
        <v>13</v>
      </c>
      <c r="K308" s="2" t="s">
        <v>80</v>
      </c>
      <c r="L308" s="12">
        <f>VLOOKUP(Shoe_Sales[[#This Row],[Product Cleaned]],Price!$A$2:$C$9,2,FALSE)</f>
        <v>112</v>
      </c>
      <c r="M308" s="12">
        <f>VLOOKUP(Shoe_Sales[[#This Row],[Product Cleaned]],Price!$A$2:$C$9,3,0)</f>
        <v>64</v>
      </c>
      <c r="N308" s="12">
        <f>(Shoe_Sales[[#This Row],[Quantity]]*Shoe_Sales[[#This Row],[Selling Price]])</f>
        <v>1456</v>
      </c>
      <c r="O308" s="12">
        <f>(Shoe_Sales[[#This Row],[Quantity]]*Shoe_Sales[[#This Row],[Cost Price]])</f>
        <v>832</v>
      </c>
      <c r="P308" s="12">
        <f>(Shoe_Sales[[#This Row],[Revenue]]-Shoe_Sales[[#This Row],[Cost]])</f>
        <v>624</v>
      </c>
      <c r="Q308" s="15">
        <f>(Shoe_Sales[[#This Row],[Profit]]/Shoe_Sales[[#This Row],[Revenue]])</f>
        <v>0.42857142857142855</v>
      </c>
    </row>
    <row r="309" spans="1:17" x14ac:dyDescent="0.25">
      <c r="A309" s="9">
        <v>46120</v>
      </c>
      <c r="B309" s="4" t="s">
        <v>63</v>
      </c>
      <c r="C309" s="2" t="str">
        <f t="shared" si="8"/>
        <v>Monk Straps</v>
      </c>
      <c r="D309" s="4" t="s">
        <v>39</v>
      </c>
      <c r="E309" s="2" t="str">
        <f t="shared" si="9"/>
        <v>Formal</v>
      </c>
      <c r="F309" s="4" t="s">
        <v>24</v>
      </c>
      <c r="G309" s="4" t="s">
        <v>49</v>
      </c>
      <c r="H309" s="4" t="str">
        <f>PROPER(Shoe_Sales[[#This Row],[Brand]])</f>
        <v>Nike</v>
      </c>
      <c r="I309" s="4" t="s">
        <v>46</v>
      </c>
      <c r="J309" s="5">
        <v>5</v>
      </c>
      <c r="K309" s="4" t="s">
        <v>81</v>
      </c>
      <c r="L309" s="12">
        <f>VLOOKUP(Shoe_Sales[[#This Row],[Product Cleaned]],Price!$A$2:$C$9,2,FALSE)</f>
        <v>89</v>
      </c>
      <c r="M309" s="12">
        <f>VLOOKUP(Shoe_Sales[[#This Row],[Product Cleaned]],Price!$A$2:$C$9,3,0)</f>
        <v>47</v>
      </c>
      <c r="N309" s="12">
        <f>(Shoe_Sales[[#This Row],[Quantity]]*Shoe_Sales[[#This Row],[Selling Price]])</f>
        <v>445</v>
      </c>
      <c r="O309" s="12">
        <f>(Shoe_Sales[[#This Row],[Quantity]]*Shoe_Sales[[#This Row],[Cost Price]])</f>
        <v>235</v>
      </c>
      <c r="P309" s="12">
        <f>(Shoe_Sales[[#This Row],[Revenue]]-Shoe_Sales[[#This Row],[Cost]])</f>
        <v>210</v>
      </c>
      <c r="Q309" s="15">
        <f>(Shoe_Sales[[#This Row],[Profit]]/Shoe_Sales[[#This Row],[Revenue]])</f>
        <v>0.47191011235955055</v>
      </c>
    </row>
    <row r="310" spans="1:17" x14ac:dyDescent="0.25">
      <c r="A310" s="8">
        <v>46149</v>
      </c>
      <c r="B310" s="2" t="s">
        <v>51</v>
      </c>
      <c r="C310" s="2" t="str">
        <f t="shared" si="8"/>
        <v>Loafers</v>
      </c>
      <c r="D310" s="2" t="s">
        <v>13</v>
      </c>
      <c r="E310" s="2" t="str">
        <f t="shared" si="9"/>
        <v>Casual</v>
      </c>
      <c r="F310" s="2" t="s">
        <v>14</v>
      </c>
      <c r="G310" s="2" t="s">
        <v>25</v>
      </c>
      <c r="H310" s="2" t="str">
        <f>PROPER(Shoe_Sales[[#This Row],[Brand]])</f>
        <v>Zara</v>
      </c>
      <c r="I310" s="2" t="s">
        <v>11</v>
      </c>
      <c r="J310" s="3">
        <v>2</v>
      </c>
      <c r="K310" s="2" t="s">
        <v>80</v>
      </c>
      <c r="L310" s="12">
        <f>VLOOKUP(Shoe_Sales[[#This Row],[Product Cleaned]],Price!$A$2:$C$9,2,FALSE)</f>
        <v>54</v>
      </c>
      <c r="M310" s="12">
        <f>VLOOKUP(Shoe_Sales[[#This Row],[Product Cleaned]],Price!$A$2:$C$9,3,0)</f>
        <v>28</v>
      </c>
      <c r="N310" s="12">
        <f>(Shoe_Sales[[#This Row],[Quantity]]*Shoe_Sales[[#This Row],[Selling Price]])</f>
        <v>108</v>
      </c>
      <c r="O310" s="12">
        <f>(Shoe_Sales[[#This Row],[Quantity]]*Shoe_Sales[[#This Row],[Cost Price]])</f>
        <v>56</v>
      </c>
      <c r="P310" s="12">
        <f>(Shoe_Sales[[#This Row],[Revenue]]-Shoe_Sales[[#This Row],[Cost]])</f>
        <v>52</v>
      </c>
      <c r="Q310" s="15">
        <f>(Shoe_Sales[[#This Row],[Profit]]/Shoe_Sales[[#This Row],[Revenue]])</f>
        <v>0.48148148148148145</v>
      </c>
    </row>
    <row r="311" spans="1:17" x14ac:dyDescent="0.25">
      <c r="A311" s="9">
        <v>46171</v>
      </c>
      <c r="B311" s="4" t="s">
        <v>36</v>
      </c>
      <c r="C311" s="2" t="str">
        <f t="shared" si="8"/>
        <v>Brogues</v>
      </c>
      <c r="D311" s="4" t="s">
        <v>18</v>
      </c>
      <c r="E311" s="2" t="str">
        <f t="shared" si="9"/>
        <v>Open</v>
      </c>
      <c r="F311" s="4" t="s">
        <v>19</v>
      </c>
      <c r="G311" s="4" t="s">
        <v>30</v>
      </c>
      <c r="H311" s="4" t="str">
        <f>PROPER(Shoe_Sales[[#This Row],[Brand]])</f>
        <v>Timberland</v>
      </c>
      <c r="I311" s="4" t="s">
        <v>46</v>
      </c>
      <c r="J311" s="5">
        <v>7</v>
      </c>
      <c r="K311" s="4" t="s">
        <v>80</v>
      </c>
      <c r="L311" s="12">
        <f>VLOOKUP(Shoe_Sales[[#This Row],[Product Cleaned]],Price!$A$2:$C$9,2,FALSE)</f>
        <v>112</v>
      </c>
      <c r="M311" s="12">
        <f>VLOOKUP(Shoe_Sales[[#This Row],[Product Cleaned]],Price!$A$2:$C$9,3,0)</f>
        <v>64</v>
      </c>
      <c r="N311" s="12">
        <f>(Shoe_Sales[[#This Row],[Quantity]]*Shoe_Sales[[#This Row],[Selling Price]])</f>
        <v>784</v>
      </c>
      <c r="O311" s="12">
        <f>(Shoe_Sales[[#This Row],[Quantity]]*Shoe_Sales[[#This Row],[Cost Price]])</f>
        <v>448</v>
      </c>
      <c r="P311" s="12">
        <f>(Shoe_Sales[[#This Row],[Revenue]]-Shoe_Sales[[#This Row],[Cost]])</f>
        <v>336</v>
      </c>
      <c r="Q311" s="15">
        <f>(Shoe_Sales[[#This Row],[Profit]]/Shoe_Sales[[#This Row],[Revenue]])</f>
        <v>0.42857142857142855</v>
      </c>
    </row>
    <row r="312" spans="1:17" x14ac:dyDescent="0.25">
      <c r="A312" s="8">
        <v>46112</v>
      </c>
      <c r="B312" s="2" t="s">
        <v>76</v>
      </c>
      <c r="C312" s="2" t="str">
        <f t="shared" si="8"/>
        <v>Monk Straps</v>
      </c>
      <c r="D312" s="2" t="s">
        <v>23</v>
      </c>
      <c r="E312" s="2" t="str">
        <f t="shared" si="9"/>
        <v>Casual</v>
      </c>
      <c r="F312" s="2" t="s">
        <v>24</v>
      </c>
      <c r="G312" s="2" t="s">
        <v>20</v>
      </c>
      <c r="H312" s="2" t="str">
        <f>PROPER(Shoe_Sales[[#This Row],[Brand]])</f>
        <v>Nike</v>
      </c>
      <c r="I312" s="2" t="s">
        <v>37</v>
      </c>
      <c r="J312" s="3">
        <v>9</v>
      </c>
      <c r="K312" s="2" t="s">
        <v>81</v>
      </c>
      <c r="L312" s="12">
        <f>VLOOKUP(Shoe_Sales[[#This Row],[Product Cleaned]],Price!$A$2:$C$9,2,FALSE)</f>
        <v>89</v>
      </c>
      <c r="M312" s="12">
        <f>VLOOKUP(Shoe_Sales[[#This Row],[Product Cleaned]],Price!$A$2:$C$9,3,0)</f>
        <v>47</v>
      </c>
      <c r="N312" s="12">
        <f>(Shoe_Sales[[#This Row],[Quantity]]*Shoe_Sales[[#This Row],[Selling Price]])</f>
        <v>801</v>
      </c>
      <c r="O312" s="12">
        <f>(Shoe_Sales[[#This Row],[Quantity]]*Shoe_Sales[[#This Row],[Cost Price]])</f>
        <v>423</v>
      </c>
      <c r="P312" s="12">
        <f>(Shoe_Sales[[#This Row],[Revenue]]-Shoe_Sales[[#This Row],[Cost]])</f>
        <v>378</v>
      </c>
      <c r="Q312" s="15">
        <f>(Shoe_Sales[[#This Row],[Profit]]/Shoe_Sales[[#This Row],[Revenue]])</f>
        <v>0.47191011235955055</v>
      </c>
    </row>
    <row r="313" spans="1:17" x14ac:dyDescent="0.25">
      <c r="A313" s="9">
        <v>46144</v>
      </c>
      <c r="B313" s="4" t="s">
        <v>38</v>
      </c>
      <c r="C313" s="2" t="str">
        <f t="shared" si="8"/>
        <v>Monk Straps</v>
      </c>
      <c r="D313" s="4" t="s">
        <v>39</v>
      </c>
      <c r="E313" s="2" t="str">
        <f t="shared" si="9"/>
        <v>Formal</v>
      </c>
      <c r="F313" s="4" t="s">
        <v>29</v>
      </c>
      <c r="G313" s="4" t="s">
        <v>25</v>
      </c>
      <c r="H313" s="4" t="str">
        <f>PROPER(Shoe_Sales[[#This Row],[Brand]])</f>
        <v>Zara</v>
      </c>
      <c r="I313" s="4" t="s">
        <v>16</v>
      </c>
      <c r="J313" s="5">
        <v>6</v>
      </c>
      <c r="K313" s="4" t="s">
        <v>79</v>
      </c>
      <c r="L313" s="12">
        <f>VLOOKUP(Shoe_Sales[[#This Row],[Product Cleaned]],Price!$A$2:$C$9,2,FALSE)</f>
        <v>89</v>
      </c>
      <c r="M313" s="12">
        <f>VLOOKUP(Shoe_Sales[[#This Row],[Product Cleaned]],Price!$A$2:$C$9,3,0)</f>
        <v>47</v>
      </c>
      <c r="N313" s="12">
        <f>(Shoe_Sales[[#This Row],[Quantity]]*Shoe_Sales[[#This Row],[Selling Price]])</f>
        <v>534</v>
      </c>
      <c r="O313" s="12">
        <f>(Shoe_Sales[[#This Row],[Quantity]]*Shoe_Sales[[#This Row],[Cost Price]])</f>
        <v>282</v>
      </c>
      <c r="P313" s="12">
        <f>(Shoe_Sales[[#This Row],[Revenue]]-Shoe_Sales[[#This Row],[Cost]])</f>
        <v>252</v>
      </c>
      <c r="Q313" s="15">
        <f>(Shoe_Sales[[#This Row],[Profit]]/Shoe_Sales[[#This Row],[Revenue]])</f>
        <v>0.47191011235955055</v>
      </c>
    </row>
    <row r="314" spans="1:17" x14ac:dyDescent="0.25">
      <c r="A314" s="8">
        <v>46142</v>
      </c>
      <c r="B314" s="2" t="s">
        <v>62</v>
      </c>
      <c r="C314" s="2" t="str">
        <f t="shared" si="8"/>
        <v>Brogues</v>
      </c>
      <c r="D314" s="2" t="s">
        <v>18</v>
      </c>
      <c r="E314" s="2" t="str">
        <f t="shared" si="9"/>
        <v>Open</v>
      </c>
      <c r="F314" s="2" t="s">
        <v>9</v>
      </c>
      <c r="G314" s="2" t="s">
        <v>73</v>
      </c>
      <c r="H314" s="2" t="str">
        <f>PROPER(Shoe_Sales[[#This Row],[Brand]])</f>
        <v>Timberland</v>
      </c>
      <c r="I314" s="2" t="s">
        <v>35</v>
      </c>
      <c r="J314" s="3">
        <v>10</v>
      </c>
      <c r="K314" s="2" t="s">
        <v>82</v>
      </c>
      <c r="L314" s="12">
        <f>VLOOKUP(Shoe_Sales[[#This Row],[Product Cleaned]],Price!$A$2:$C$9,2,FALSE)</f>
        <v>112</v>
      </c>
      <c r="M314" s="12">
        <f>VLOOKUP(Shoe_Sales[[#This Row],[Product Cleaned]],Price!$A$2:$C$9,3,0)</f>
        <v>64</v>
      </c>
      <c r="N314" s="12">
        <f>(Shoe_Sales[[#This Row],[Quantity]]*Shoe_Sales[[#This Row],[Selling Price]])</f>
        <v>1120</v>
      </c>
      <c r="O314" s="12">
        <f>(Shoe_Sales[[#This Row],[Quantity]]*Shoe_Sales[[#This Row],[Cost Price]])</f>
        <v>640</v>
      </c>
      <c r="P314" s="12">
        <f>(Shoe_Sales[[#This Row],[Revenue]]-Shoe_Sales[[#This Row],[Cost]])</f>
        <v>480</v>
      </c>
      <c r="Q314" s="15">
        <f>(Shoe_Sales[[#This Row],[Profit]]/Shoe_Sales[[#This Row],[Revenue]])</f>
        <v>0.42857142857142855</v>
      </c>
    </row>
    <row r="315" spans="1:17" x14ac:dyDescent="0.25">
      <c r="A315" s="9">
        <v>46221</v>
      </c>
      <c r="B315" s="4" t="s">
        <v>64</v>
      </c>
      <c r="C315" s="2" t="str">
        <f t="shared" si="8"/>
        <v>Derby</v>
      </c>
      <c r="D315" s="4" t="s">
        <v>18</v>
      </c>
      <c r="E315" s="2" t="str">
        <f t="shared" si="9"/>
        <v>Open</v>
      </c>
      <c r="F315" s="4" t="s">
        <v>14</v>
      </c>
      <c r="G315" s="4" t="s">
        <v>73</v>
      </c>
      <c r="H315" s="4" t="str">
        <f>PROPER(Shoe_Sales[[#This Row],[Brand]])</f>
        <v>Timberland</v>
      </c>
      <c r="I315" s="4" t="s">
        <v>43</v>
      </c>
      <c r="J315" s="5">
        <v>1</v>
      </c>
      <c r="K315" s="4" t="s">
        <v>80</v>
      </c>
      <c r="L315" s="12">
        <f>VLOOKUP(Shoe_Sales[[#This Row],[Product Cleaned]],Price!$A$2:$C$9,2,FALSE)</f>
        <v>32</v>
      </c>
      <c r="M315" s="12">
        <f>VLOOKUP(Shoe_Sales[[#This Row],[Product Cleaned]],Price!$A$2:$C$9,3,0)</f>
        <v>14</v>
      </c>
      <c r="N315" s="12">
        <f>(Shoe_Sales[[#This Row],[Quantity]]*Shoe_Sales[[#This Row],[Selling Price]])</f>
        <v>32</v>
      </c>
      <c r="O315" s="12">
        <f>(Shoe_Sales[[#This Row],[Quantity]]*Shoe_Sales[[#This Row],[Cost Price]])</f>
        <v>14</v>
      </c>
      <c r="P315" s="12">
        <f>(Shoe_Sales[[#This Row],[Revenue]]-Shoe_Sales[[#This Row],[Cost]])</f>
        <v>18</v>
      </c>
      <c r="Q315" s="15">
        <f>(Shoe_Sales[[#This Row],[Profit]]/Shoe_Sales[[#This Row],[Revenue]])</f>
        <v>0.5625</v>
      </c>
    </row>
    <row r="316" spans="1:17" x14ac:dyDescent="0.25">
      <c r="A316" s="8">
        <v>46152</v>
      </c>
      <c r="B316" s="2" t="s">
        <v>32</v>
      </c>
      <c r="C316" s="2" t="str">
        <f t="shared" si="8"/>
        <v>Oxford</v>
      </c>
      <c r="D316" s="2" t="s">
        <v>13</v>
      </c>
      <c r="E316" s="2" t="str">
        <f t="shared" si="9"/>
        <v>Casual</v>
      </c>
      <c r="F316" s="2" t="s">
        <v>14</v>
      </c>
      <c r="G316" s="2" t="s">
        <v>25</v>
      </c>
      <c r="H316" s="2" t="str">
        <f>PROPER(Shoe_Sales[[#This Row],[Brand]])</f>
        <v>Zara</v>
      </c>
      <c r="I316" s="2" t="s">
        <v>16</v>
      </c>
      <c r="J316" s="3">
        <v>13</v>
      </c>
      <c r="K316" s="2" t="s">
        <v>81</v>
      </c>
      <c r="L316" s="12">
        <f>VLOOKUP(Shoe_Sales[[#This Row],[Product Cleaned]],Price!$A$2:$C$9,2,FALSE)</f>
        <v>105</v>
      </c>
      <c r="M316" s="12">
        <f>VLOOKUP(Shoe_Sales[[#This Row],[Product Cleaned]],Price!$A$2:$C$9,3,0)</f>
        <v>58</v>
      </c>
      <c r="N316" s="12">
        <f>(Shoe_Sales[[#This Row],[Quantity]]*Shoe_Sales[[#This Row],[Selling Price]])</f>
        <v>1365</v>
      </c>
      <c r="O316" s="12">
        <f>(Shoe_Sales[[#This Row],[Quantity]]*Shoe_Sales[[#This Row],[Cost Price]])</f>
        <v>754</v>
      </c>
      <c r="P316" s="12">
        <f>(Shoe_Sales[[#This Row],[Revenue]]-Shoe_Sales[[#This Row],[Cost]])</f>
        <v>611</v>
      </c>
      <c r="Q316" s="15">
        <f>(Shoe_Sales[[#This Row],[Profit]]/Shoe_Sales[[#This Row],[Revenue]])</f>
        <v>0.44761904761904764</v>
      </c>
    </row>
    <row r="317" spans="1:17" x14ac:dyDescent="0.25">
      <c r="A317" s="9">
        <v>46070</v>
      </c>
      <c r="B317" s="4" t="s">
        <v>22</v>
      </c>
      <c r="C317" s="2" t="str">
        <f t="shared" si="8"/>
        <v>Loafers</v>
      </c>
      <c r="D317" s="4" t="s">
        <v>39</v>
      </c>
      <c r="E317" s="2" t="str">
        <f t="shared" si="9"/>
        <v>Formal</v>
      </c>
      <c r="F317" s="4" t="s">
        <v>14</v>
      </c>
      <c r="G317" s="4" t="s">
        <v>10</v>
      </c>
      <c r="H317" s="4" t="str">
        <f>PROPER(Shoe_Sales[[#This Row],[Brand]])</f>
        <v>Clarks</v>
      </c>
      <c r="I317" s="4" t="s">
        <v>21</v>
      </c>
      <c r="J317" s="5">
        <v>9</v>
      </c>
      <c r="K317" s="4" t="s">
        <v>81</v>
      </c>
      <c r="L317" s="12">
        <f>VLOOKUP(Shoe_Sales[[#This Row],[Product Cleaned]],Price!$A$2:$C$9,2,FALSE)</f>
        <v>54</v>
      </c>
      <c r="M317" s="12">
        <f>VLOOKUP(Shoe_Sales[[#This Row],[Product Cleaned]],Price!$A$2:$C$9,3,0)</f>
        <v>28</v>
      </c>
      <c r="N317" s="12">
        <f>(Shoe_Sales[[#This Row],[Quantity]]*Shoe_Sales[[#This Row],[Selling Price]])</f>
        <v>486</v>
      </c>
      <c r="O317" s="12">
        <f>(Shoe_Sales[[#This Row],[Quantity]]*Shoe_Sales[[#This Row],[Cost Price]])</f>
        <v>252</v>
      </c>
      <c r="P317" s="12">
        <f>(Shoe_Sales[[#This Row],[Revenue]]-Shoe_Sales[[#This Row],[Cost]])</f>
        <v>234</v>
      </c>
      <c r="Q317" s="15">
        <f>(Shoe_Sales[[#This Row],[Profit]]/Shoe_Sales[[#This Row],[Revenue]])</f>
        <v>0.48148148148148145</v>
      </c>
    </row>
    <row r="318" spans="1:17" x14ac:dyDescent="0.25">
      <c r="A318" s="8">
        <v>46178</v>
      </c>
      <c r="B318" s="2" t="s">
        <v>17</v>
      </c>
      <c r="C318" s="2" t="str">
        <f t="shared" si="8"/>
        <v>Slippers</v>
      </c>
      <c r="D318" s="2" t="s">
        <v>52</v>
      </c>
      <c r="E318" s="2" t="str">
        <f t="shared" si="9"/>
        <v>Casual</v>
      </c>
      <c r="F318" s="2" t="s">
        <v>29</v>
      </c>
      <c r="G318" s="2" t="s">
        <v>34</v>
      </c>
      <c r="H318" s="2" t="str">
        <f>PROPER(Shoe_Sales[[#This Row],[Brand]])</f>
        <v>Clarks</v>
      </c>
      <c r="I318" s="2" t="s">
        <v>54</v>
      </c>
      <c r="J318" s="3">
        <v>15</v>
      </c>
      <c r="K318" s="2" t="s">
        <v>81</v>
      </c>
      <c r="L318" s="12">
        <f>VLOOKUP(Shoe_Sales[[#This Row],[Product Cleaned]],Price!$A$2:$C$9,2,FALSE)</f>
        <v>119</v>
      </c>
      <c r="M318" s="12">
        <f>VLOOKUP(Shoe_Sales[[#This Row],[Product Cleaned]],Price!$A$2:$C$9,3,0)</f>
        <v>67</v>
      </c>
      <c r="N318" s="12">
        <f>(Shoe_Sales[[#This Row],[Quantity]]*Shoe_Sales[[#This Row],[Selling Price]])</f>
        <v>1785</v>
      </c>
      <c r="O318" s="12">
        <f>(Shoe_Sales[[#This Row],[Quantity]]*Shoe_Sales[[#This Row],[Cost Price]])</f>
        <v>1005</v>
      </c>
      <c r="P318" s="12">
        <f>(Shoe_Sales[[#This Row],[Revenue]]-Shoe_Sales[[#This Row],[Cost]])</f>
        <v>780</v>
      </c>
      <c r="Q318" s="15">
        <f>(Shoe_Sales[[#This Row],[Profit]]/Shoe_Sales[[#This Row],[Revenue]])</f>
        <v>0.43697478991596639</v>
      </c>
    </row>
    <row r="319" spans="1:17" x14ac:dyDescent="0.25">
      <c r="A319" s="9">
        <v>46047</v>
      </c>
      <c r="B319" s="4" t="s">
        <v>44</v>
      </c>
      <c r="C319" s="2" t="str">
        <f t="shared" si="8"/>
        <v>Canvas</v>
      </c>
      <c r="D319" s="4" t="s">
        <v>68</v>
      </c>
      <c r="E319" s="2" t="str">
        <f t="shared" si="9"/>
        <v>Open</v>
      </c>
      <c r="F319" s="4" t="s">
        <v>19</v>
      </c>
      <c r="G319" s="4" t="s">
        <v>53</v>
      </c>
      <c r="H319" s="4" t="str">
        <f>PROPER(Shoe_Sales[[#This Row],[Brand]])</f>
        <v>Zara</v>
      </c>
      <c r="I319" s="4" t="s">
        <v>21</v>
      </c>
      <c r="J319" s="5">
        <v>14</v>
      </c>
      <c r="K319" s="4" t="s">
        <v>80</v>
      </c>
      <c r="L319" s="12">
        <f>VLOOKUP(Shoe_Sales[[#This Row],[Product Cleaned]],Price!$A$2:$C$9,2,FALSE)</f>
        <v>128</v>
      </c>
      <c r="M319" s="12">
        <f>VLOOKUP(Shoe_Sales[[#This Row],[Product Cleaned]],Price!$A$2:$C$9,3,0)</f>
        <v>72</v>
      </c>
      <c r="N319" s="12">
        <f>(Shoe_Sales[[#This Row],[Quantity]]*Shoe_Sales[[#This Row],[Selling Price]])</f>
        <v>1792</v>
      </c>
      <c r="O319" s="12">
        <f>(Shoe_Sales[[#This Row],[Quantity]]*Shoe_Sales[[#This Row],[Cost Price]])</f>
        <v>1008</v>
      </c>
      <c r="P319" s="12">
        <f>(Shoe_Sales[[#This Row],[Revenue]]-Shoe_Sales[[#This Row],[Cost]])</f>
        <v>784</v>
      </c>
      <c r="Q319" s="15">
        <f>(Shoe_Sales[[#This Row],[Profit]]/Shoe_Sales[[#This Row],[Revenue]])</f>
        <v>0.4375</v>
      </c>
    </row>
    <row r="320" spans="1:17" x14ac:dyDescent="0.25">
      <c r="A320" s="8">
        <v>46151</v>
      </c>
      <c r="B320" s="2" t="s">
        <v>63</v>
      </c>
      <c r="C320" s="2" t="str">
        <f t="shared" si="8"/>
        <v>Monk Straps</v>
      </c>
      <c r="D320" s="2" t="s">
        <v>48</v>
      </c>
      <c r="E320" s="2" t="str">
        <f t="shared" si="9"/>
        <v>Open</v>
      </c>
      <c r="F320" s="2" t="s">
        <v>24</v>
      </c>
      <c r="G320" s="2" t="s">
        <v>60</v>
      </c>
      <c r="H320" s="2" t="str">
        <f>PROPER(Shoe_Sales[[#This Row],[Brand]])</f>
        <v>Clarks</v>
      </c>
      <c r="I320" s="2" t="s">
        <v>31</v>
      </c>
      <c r="J320" s="3">
        <v>15</v>
      </c>
      <c r="K320" s="2" t="s">
        <v>80</v>
      </c>
      <c r="L320" s="12">
        <f>VLOOKUP(Shoe_Sales[[#This Row],[Product Cleaned]],Price!$A$2:$C$9,2,FALSE)</f>
        <v>89</v>
      </c>
      <c r="M320" s="12">
        <f>VLOOKUP(Shoe_Sales[[#This Row],[Product Cleaned]],Price!$A$2:$C$9,3,0)</f>
        <v>47</v>
      </c>
      <c r="N320" s="12">
        <f>(Shoe_Sales[[#This Row],[Quantity]]*Shoe_Sales[[#This Row],[Selling Price]])</f>
        <v>1335</v>
      </c>
      <c r="O320" s="12">
        <f>(Shoe_Sales[[#This Row],[Quantity]]*Shoe_Sales[[#This Row],[Cost Price]])</f>
        <v>705</v>
      </c>
      <c r="P320" s="12">
        <f>(Shoe_Sales[[#This Row],[Revenue]]-Shoe_Sales[[#This Row],[Cost]])</f>
        <v>630</v>
      </c>
      <c r="Q320" s="15">
        <f>(Shoe_Sales[[#This Row],[Profit]]/Shoe_Sales[[#This Row],[Revenue]])</f>
        <v>0.47191011235955055</v>
      </c>
    </row>
    <row r="321" spans="1:17" x14ac:dyDescent="0.25">
      <c r="A321" s="9">
        <v>46103</v>
      </c>
      <c r="B321" s="4" t="s">
        <v>59</v>
      </c>
      <c r="C321" s="2" t="str">
        <f t="shared" si="8"/>
        <v>Oxford</v>
      </c>
      <c r="D321" s="4" t="s">
        <v>8</v>
      </c>
      <c r="E321" s="2" t="str">
        <f t="shared" si="9"/>
        <v>Formal</v>
      </c>
      <c r="F321" s="4" t="s">
        <v>29</v>
      </c>
      <c r="G321" s="4" t="s">
        <v>34</v>
      </c>
      <c r="H321" s="4" t="str">
        <f>PROPER(Shoe_Sales[[#This Row],[Brand]])</f>
        <v>Clarks</v>
      </c>
      <c r="I321" s="4" t="s">
        <v>31</v>
      </c>
      <c r="J321" s="5">
        <v>14</v>
      </c>
      <c r="K321" s="4" t="s">
        <v>80</v>
      </c>
      <c r="L321" s="12">
        <f>VLOOKUP(Shoe_Sales[[#This Row],[Product Cleaned]],Price!$A$2:$C$9,2,FALSE)</f>
        <v>105</v>
      </c>
      <c r="M321" s="12">
        <f>VLOOKUP(Shoe_Sales[[#This Row],[Product Cleaned]],Price!$A$2:$C$9,3,0)</f>
        <v>58</v>
      </c>
      <c r="N321" s="12">
        <f>(Shoe_Sales[[#This Row],[Quantity]]*Shoe_Sales[[#This Row],[Selling Price]])</f>
        <v>1470</v>
      </c>
      <c r="O321" s="12">
        <f>(Shoe_Sales[[#This Row],[Quantity]]*Shoe_Sales[[#This Row],[Cost Price]])</f>
        <v>812</v>
      </c>
      <c r="P321" s="12">
        <f>(Shoe_Sales[[#This Row],[Revenue]]-Shoe_Sales[[#This Row],[Cost]])</f>
        <v>658</v>
      </c>
      <c r="Q321" s="15">
        <f>(Shoe_Sales[[#This Row],[Profit]]/Shoe_Sales[[#This Row],[Revenue]])</f>
        <v>0.44761904761904764</v>
      </c>
    </row>
    <row r="322" spans="1:17" x14ac:dyDescent="0.25">
      <c r="A322" s="8">
        <v>46192</v>
      </c>
      <c r="B322" s="2" t="s">
        <v>67</v>
      </c>
      <c r="C322" s="2" t="str">
        <f t="shared" ref="C322:C385" si="10">TRIM(PROPER(B322))</f>
        <v>Slippers</v>
      </c>
      <c r="D322" s="2" t="s">
        <v>13</v>
      </c>
      <c r="E322" s="2" t="str">
        <f t="shared" si="9"/>
        <v>Casual</v>
      </c>
      <c r="F322" s="2" t="s">
        <v>24</v>
      </c>
      <c r="G322" s="2" t="s">
        <v>60</v>
      </c>
      <c r="H322" s="2" t="str">
        <f>PROPER(Shoe_Sales[[#This Row],[Brand]])</f>
        <v>Clarks</v>
      </c>
      <c r="I322" s="2" t="s">
        <v>43</v>
      </c>
      <c r="J322" s="3">
        <v>6</v>
      </c>
      <c r="K322" s="2" t="s">
        <v>81</v>
      </c>
      <c r="L322" s="12">
        <f>VLOOKUP(Shoe_Sales[[#This Row],[Product Cleaned]],Price!$A$2:$C$9,2,FALSE)</f>
        <v>119</v>
      </c>
      <c r="M322" s="12">
        <f>VLOOKUP(Shoe_Sales[[#This Row],[Product Cleaned]],Price!$A$2:$C$9,3,0)</f>
        <v>67</v>
      </c>
      <c r="N322" s="12">
        <f>(Shoe_Sales[[#This Row],[Quantity]]*Shoe_Sales[[#This Row],[Selling Price]])</f>
        <v>714</v>
      </c>
      <c r="O322" s="12">
        <f>(Shoe_Sales[[#This Row],[Quantity]]*Shoe_Sales[[#This Row],[Cost Price]])</f>
        <v>402</v>
      </c>
      <c r="P322" s="12">
        <f>(Shoe_Sales[[#This Row],[Revenue]]-Shoe_Sales[[#This Row],[Cost]])</f>
        <v>312</v>
      </c>
      <c r="Q322" s="15">
        <f>(Shoe_Sales[[#This Row],[Profit]]/Shoe_Sales[[#This Row],[Revenue]])</f>
        <v>0.43697478991596639</v>
      </c>
    </row>
    <row r="323" spans="1:17" x14ac:dyDescent="0.25">
      <c r="A323" s="9">
        <v>46037</v>
      </c>
      <c r="B323" s="4" t="s">
        <v>70</v>
      </c>
      <c r="C323" s="2" t="str">
        <f t="shared" si="10"/>
        <v>Loafers</v>
      </c>
      <c r="D323" s="4" t="s">
        <v>56</v>
      </c>
      <c r="E323" s="2" t="str">
        <f t="shared" ref="E323:E386" si="11">PROPER(D323)</f>
        <v>Utility</v>
      </c>
      <c r="F323" s="4" t="s">
        <v>19</v>
      </c>
      <c r="G323" s="4" t="s">
        <v>69</v>
      </c>
      <c r="H323" s="4" t="str">
        <f>PROPER(Shoe_Sales[[#This Row],[Brand]])</f>
        <v>Nike</v>
      </c>
      <c r="I323" s="4" t="s">
        <v>26</v>
      </c>
      <c r="J323" s="5">
        <v>15</v>
      </c>
      <c r="K323" s="4" t="s">
        <v>82</v>
      </c>
      <c r="L323" s="12">
        <f>VLOOKUP(Shoe_Sales[[#This Row],[Product Cleaned]],Price!$A$2:$C$9,2,FALSE)</f>
        <v>54</v>
      </c>
      <c r="M323" s="12">
        <f>VLOOKUP(Shoe_Sales[[#This Row],[Product Cleaned]],Price!$A$2:$C$9,3,0)</f>
        <v>28</v>
      </c>
      <c r="N323" s="12">
        <f>(Shoe_Sales[[#This Row],[Quantity]]*Shoe_Sales[[#This Row],[Selling Price]])</f>
        <v>810</v>
      </c>
      <c r="O323" s="12">
        <f>(Shoe_Sales[[#This Row],[Quantity]]*Shoe_Sales[[#This Row],[Cost Price]])</f>
        <v>420</v>
      </c>
      <c r="P323" s="12">
        <f>(Shoe_Sales[[#This Row],[Revenue]]-Shoe_Sales[[#This Row],[Cost]])</f>
        <v>390</v>
      </c>
      <c r="Q323" s="15">
        <f>(Shoe_Sales[[#This Row],[Profit]]/Shoe_Sales[[#This Row],[Revenue]])</f>
        <v>0.48148148148148145</v>
      </c>
    </row>
    <row r="324" spans="1:17" x14ac:dyDescent="0.25">
      <c r="A324" s="8">
        <v>46089</v>
      </c>
      <c r="B324" s="2" t="s">
        <v>55</v>
      </c>
      <c r="C324" s="2" t="str">
        <f t="shared" si="10"/>
        <v>Boots</v>
      </c>
      <c r="D324" s="2" t="s">
        <v>48</v>
      </c>
      <c r="E324" s="2" t="str">
        <f t="shared" si="11"/>
        <v>Open</v>
      </c>
      <c r="F324" s="2" t="s">
        <v>9</v>
      </c>
      <c r="G324" s="2" t="s">
        <v>66</v>
      </c>
      <c r="H324" s="2" t="str">
        <f>PROPER(Shoe_Sales[[#This Row],[Brand]])</f>
        <v>Steve Madden</v>
      </c>
      <c r="I324" s="2" t="s">
        <v>43</v>
      </c>
      <c r="J324" s="3">
        <v>6</v>
      </c>
      <c r="K324" s="2" t="s">
        <v>79</v>
      </c>
      <c r="L324" s="12">
        <f>VLOOKUP(Shoe_Sales[[#This Row],[Product Cleaned]],Price!$A$2:$C$9,2,FALSE)</f>
        <v>76</v>
      </c>
      <c r="M324" s="12">
        <f>VLOOKUP(Shoe_Sales[[#This Row],[Product Cleaned]],Price!$A$2:$C$9,3,0)</f>
        <v>39</v>
      </c>
      <c r="N324" s="12">
        <f>(Shoe_Sales[[#This Row],[Quantity]]*Shoe_Sales[[#This Row],[Selling Price]])</f>
        <v>456</v>
      </c>
      <c r="O324" s="12">
        <f>(Shoe_Sales[[#This Row],[Quantity]]*Shoe_Sales[[#This Row],[Cost Price]])</f>
        <v>234</v>
      </c>
      <c r="P324" s="12">
        <f>(Shoe_Sales[[#This Row],[Revenue]]-Shoe_Sales[[#This Row],[Cost]])</f>
        <v>222</v>
      </c>
      <c r="Q324" s="15">
        <f>(Shoe_Sales[[#This Row],[Profit]]/Shoe_Sales[[#This Row],[Revenue]])</f>
        <v>0.48684210526315791</v>
      </c>
    </row>
    <row r="325" spans="1:17" x14ac:dyDescent="0.25">
      <c r="A325" s="9">
        <v>46096</v>
      </c>
      <c r="B325" s="4" t="s">
        <v>44</v>
      </c>
      <c r="C325" s="2" t="str">
        <f t="shared" si="10"/>
        <v>Canvas</v>
      </c>
      <c r="D325" s="4" t="s">
        <v>52</v>
      </c>
      <c r="E325" s="2" t="str">
        <f t="shared" si="11"/>
        <v>Casual</v>
      </c>
      <c r="F325" s="4" t="s">
        <v>14</v>
      </c>
      <c r="G325" s="4" t="s">
        <v>25</v>
      </c>
      <c r="H325" s="4" t="str">
        <f>PROPER(Shoe_Sales[[#This Row],[Brand]])</f>
        <v>Zara</v>
      </c>
      <c r="I325" s="4" t="s">
        <v>31</v>
      </c>
      <c r="J325" s="5">
        <v>10</v>
      </c>
      <c r="K325" s="4" t="s">
        <v>79</v>
      </c>
      <c r="L325" s="12">
        <f>VLOOKUP(Shoe_Sales[[#This Row],[Product Cleaned]],Price!$A$2:$C$9,2,FALSE)</f>
        <v>128</v>
      </c>
      <c r="M325" s="12">
        <f>VLOOKUP(Shoe_Sales[[#This Row],[Product Cleaned]],Price!$A$2:$C$9,3,0)</f>
        <v>72</v>
      </c>
      <c r="N325" s="12">
        <f>(Shoe_Sales[[#This Row],[Quantity]]*Shoe_Sales[[#This Row],[Selling Price]])</f>
        <v>1280</v>
      </c>
      <c r="O325" s="12">
        <f>(Shoe_Sales[[#This Row],[Quantity]]*Shoe_Sales[[#This Row],[Cost Price]])</f>
        <v>720</v>
      </c>
      <c r="P325" s="12">
        <f>(Shoe_Sales[[#This Row],[Revenue]]-Shoe_Sales[[#This Row],[Cost]])</f>
        <v>560</v>
      </c>
      <c r="Q325" s="15">
        <f>(Shoe_Sales[[#This Row],[Profit]]/Shoe_Sales[[#This Row],[Revenue]])</f>
        <v>0.4375</v>
      </c>
    </row>
    <row r="326" spans="1:17" x14ac:dyDescent="0.25">
      <c r="A326" s="8">
        <v>46124</v>
      </c>
      <c r="B326" s="2" t="s">
        <v>32</v>
      </c>
      <c r="C326" s="2" t="str">
        <f t="shared" si="10"/>
        <v>Oxford</v>
      </c>
      <c r="D326" s="2" t="s">
        <v>23</v>
      </c>
      <c r="E326" s="2" t="str">
        <f t="shared" si="11"/>
        <v>Casual</v>
      </c>
      <c r="F326" s="2" t="s">
        <v>24</v>
      </c>
      <c r="G326" s="2" t="s">
        <v>10</v>
      </c>
      <c r="H326" s="2" t="str">
        <f>PROPER(Shoe_Sales[[#This Row],[Brand]])</f>
        <v>Clarks</v>
      </c>
      <c r="I326" s="2" t="s">
        <v>41</v>
      </c>
      <c r="J326" s="3">
        <v>4</v>
      </c>
      <c r="K326" s="2" t="s">
        <v>80</v>
      </c>
      <c r="L326" s="12">
        <f>VLOOKUP(Shoe_Sales[[#This Row],[Product Cleaned]],Price!$A$2:$C$9,2,FALSE)</f>
        <v>105</v>
      </c>
      <c r="M326" s="12">
        <f>VLOOKUP(Shoe_Sales[[#This Row],[Product Cleaned]],Price!$A$2:$C$9,3,0)</f>
        <v>58</v>
      </c>
      <c r="N326" s="12">
        <f>(Shoe_Sales[[#This Row],[Quantity]]*Shoe_Sales[[#This Row],[Selling Price]])</f>
        <v>420</v>
      </c>
      <c r="O326" s="12">
        <f>(Shoe_Sales[[#This Row],[Quantity]]*Shoe_Sales[[#This Row],[Cost Price]])</f>
        <v>232</v>
      </c>
      <c r="P326" s="12">
        <f>(Shoe_Sales[[#This Row],[Revenue]]-Shoe_Sales[[#This Row],[Cost]])</f>
        <v>188</v>
      </c>
      <c r="Q326" s="15">
        <f>(Shoe_Sales[[#This Row],[Profit]]/Shoe_Sales[[#This Row],[Revenue]])</f>
        <v>0.44761904761904764</v>
      </c>
    </row>
    <row r="327" spans="1:17" x14ac:dyDescent="0.25">
      <c r="A327" s="9">
        <v>46188</v>
      </c>
      <c r="B327" s="4" t="s">
        <v>70</v>
      </c>
      <c r="C327" s="2" t="str">
        <f t="shared" si="10"/>
        <v>Loafers</v>
      </c>
      <c r="D327" s="4" t="s">
        <v>39</v>
      </c>
      <c r="E327" s="2" t="str">
        <f t="shared" si="11"/>
        <v>Formal</v>
      </c>
      <c r="F327" s="4" t="s">
        <v>24</v>
      </c>
      <c r="G327" s="4" t="s">
        <v>40</v>
      </c>
      <c r="H327" s="4" t="str">
        <f>PROPER(Shoe_Sales[[#This Row],[Brand]])</f>
        <v>Zara</v>
      </c>
      <c r="I327" s="4" t="s">
        <v>41</v>
      </c>
      <c r="J327" s="5">
        <v>11</v>
      </c>
      <c r="K327" s="4" t="s">
        <v>82</v>
      </c>
      <c r="L327" s="12">
        <f>VLOOKUP(Shoe_Sales[[#This Row],[Product Cleaned]],Price!$A$2:$C$9,2,FALSE)</f>
        <v>54</v>
      </c>
      <c r="M327" s="12">
        <f>VLOOKUP(Shoe_Sales[[#This Row],[Product Cleaned]],Price!$A$2:$C$9,3,0)</f>
        <v>28</v>
      </c>
      <c r="N327" s="12">
        <f>(Shoe_Sales[[#This Row],[Quantity]]*Shoe_Sales[[#This Row],[Selling Price]])</f>
        <v>594</v>
      </c>
      <c r="O327" s="12">
        <f>(Shoe_Sales[[#This Row],[Quantity]]*Shoe_Sales[[#This Row],[Cost Price]])</f>
        <v>308</v>
      </c>
      <c r="P327" s="12">
        <f>(Shoe_Sales[[#This Row],[Revenue]]-Shoe_Sales[[#This Row],[Cost]])</f>
        <v>286</v>
      </c>
      <c r="Q327" s="15">
        <f>(Shoe_Sales[[#This Row],[Profit]]/Shoe_Sales[[#This Row],[Revenue]])</f>
        <v>0.48148148148148145</v>
      </c>
    </row>
    <row r="328" spans="1:17" x14ac:dyDescent="0.25">
      <c r="A328" s="8">
        <v>46214</v>
      </c>
      <c r="B328" s="2" t="s">
        <v>38</v>
      </c>
      <c r="C328" s="2" t="str">
        <f t="shared" si="10"/>
        <v>Monk Straps</v>
      </c>
      <c r="D328" s="2" t="s">
        <v>52</v>
      </c>
      <c r="E328" s="2" t="str">
        <f t="shared" si="11"/>
        <v>Casual</v>
      </c>
      <c r="F328" s="2" t="s">
        <v>14</v>
      </c>
      <c r="G328" s="2" t="s">
        <v>53</v>
      </c>
      <c r="H328" s="2" t="str">
        <f>PROPER(Shoe_Sales[[#This Row],[Brand]])</f>
        <v>Zara</v>
      </c>
      <c r="I328" s="2" t="s">
        <v>61</v>
      </c>
      <c r="J328" s="3">
        <v>4</v>
      </c>
      <c r="K328" s="2" t="s">
        <v>79</v>
      </c>
      <c r="L328" s="12">
        <f>VLOOKUP(Shoe_Sales[[#This Row],[Product Cleaned]],Price!$A$2:$C$9,2,FALSE)</f>
        <v>89</v>
      </c>
      <c r="M328" s="12">
        <f>VLOOKUP(Shoe_Sales[[#This Row],[Product Cleaned]],Price!$A$2:$C$9,3,0)</f>
        <v>47</v>
      </c>
      <c r="N328" s="12">
        <f>(Shoe_Sales[[#This Row],[Quantity]]*Shoe_Sales[[#This Row],[Selling Price]])</f>
        <v>356</v>
      </c>
      <c r="O328" s="12">
        <f>(Shoe_Sales[[#This Row],[Quantity]]*Shoe_Sales[[#This Row],[Cost Price]])</f>
        <v>188</v>
      </c>
      <c r="P328" s="12">
        <f>(Shoe_Sales[[#This Row],[Revenue]]-Shoe_Sales[[#This Row],[Cost]])</f>
        <v>168</v>
      </c>
      <c r="Q328" s="15">
        <f>(Shoe_Sales[[#This Row],[Profit]]/Shoe_Sales[[#This Row],[Revenue]])</f>
        <v>0.47191011235955055</v>
      </c>
    </row>
    <row r="329" spans="1:17" x14ac:dyDescent="0.25">
      <c r="A329" s="9">
        <v>46216</v>
      </c>
      <c r="B329" s="4" t="s">
        <v>75</v>
      </c>
      <c r="C329" s="2" t="str">
        <f t="shared" si="10"/>
        <v>Brogues</v>
      </c>
      <c r="D329" s="4" t="s">
        <v>23</v>
      </c>
      <c r="E329" s="2" t="str">
        <f t="shared" si="11"/>
        <v>Casual</v>
      </c>
      <c r="F329" s="4" t="s">
        <v>24</v>
      </c>
      <c r="G329" s="4" t="s">
        <v>69</v>
      </c>
      <c r="H329" s="4" t="str">
        <f>PROPER(Shoe_Sales[[#This Row],[Brand]])</f>
        <v>Nike</v>
      </c>
      <c r="I329" s="4" t="s">
        <v>41</v>
      </c>
      <c r="J329" s="5">
        <v>10</v>
      </c>
      <c r="K329" s="4" t="s">
        <v>81</v>
      </c>
      <c r="L329" s="12">
        <f>VLOOKUP(Shoe_Sales[[#This Row],[Product Cleaned]],Price!$A$2:$C$9,2,FALSE)</f>
        <v>112</v>
      </c>
      <c r="M329" s="12">
        <f>VLOOKUP(Shoe_Sales[[#This Row],[Product Cleaned]],Price!$A$2:$C$9,3,0)</f>
        <v>64</v>
      </c>
      <c r="N329" s="12">
        <f>(Shoe_Sales[[#This Row],[Quantity]]*Shoe_Sales[[#This Row],[Selling Price]])</f>
        <v>1120</v>
      </c>
      <c r="O329" s="12">
        <f>(Shoe_Sales[[#This Row],[Quantity]]*Shoe_Sales[[#This Row],[Cost Price]])</f>
        <v>640</v>
      </c>
      <c r="P329" s="12">
        <f>(Shoe_Sales[[#This Row],[Revenue]]-Shoe_Sales[[#This Row],[Cost]])</f>
        <v>480</v>
      </c>
      <c r="Q329" s="15">
        <f>(Shoe_Sales[[#This Row],[Profit]]/Shoe_Sales[[#This Row],[Revenue]])</f>
        <v>0.42857142857142855</v>
      </c>
    </row>
    <row r="330" spans="1:17" x14ac:dyDescent="0.25">
      <c r="A330" s="8">
        <v>46109</v>
      </c>
      <c r="B330" s="2" t="s">
        <v>64</v>
      </c>
      <c r="C330" s="2" t="str">
        <f t="shared" si="10"/>
        <v>Derby</v>
      </c>
      <c r="D330" s="2" t="s">
        <v>39</v>
      </c>
      <c r="E330" s="2" t="str">
        <f t="shared" si="11"/>
        <v>Formal</v>
      </c>
      <c r="F330" s="2" t="s">
        <v>9</v>
      </c>
      <c r="G330" s="2" t="s">
        <v>66</v>
      </c>
      <c r="H330" s="2" t="str">
        <f>PROPER(Shoe_Sales[[#This Row],[Brand]])</f>
        <v>Steve Madden</v>
      </c>
      <c r="I330" s="2" t="s">
        <v>41</v>
      </c>
      <c r="J330" s="3">
        <v>3</v>
      </c>
      <c r="K330" s="2" t="s">
        <v>81</v>
      </c>
      <c r="L330" s="12">
        <f>VLOOKUP(Shoe_Sales[[#This Row],[Product Cleaned]],Price!$A$2:$C$9,2,FALSE)</f>
        <v>32</v>
      </c>
      <c r="M330" s="12">
        <f>VLOOKUP(Shoe_Sales[[#This Row],[Product Cleaned]],Price!$A$2:$C$9,3,0)</f>
        <v>14</v>
      </c>
      <c r="N330" s="12">
        <f>(Shoe_Sales[[#This Row],[Quantity]]*Shoe_Sales[[#This Row],[Selling Price]])</f>
        <v>96</v>
      </c>
      <c r="O330" s="12">
        <f>(Shoe_Sales[[#This Row],[Quantity]]*Shoe_Sales[[#This Row],[Cost Price]])</f>
        <v>42</v>
      </c>
      <c r="P330" s="12">
        <f>(Shoe_Sales[[#This Row],[Revenue]]-Shoe_Sales[[#This Row],[Cost]])</f>
        <v>54</v>
      </c>
      <c r="Q330" s="15">
        <f>(Shoe_Sales[[#This Row],[Profit]]/Shoe_Sales[[#This Row],[Revenue]])</f>
        <v>0.5625</v>
      </c>
    </row>
    <row r="331" spans="1:17" x14ac:dyDescent="0.25">
      <c r="A331" s="9">
        <v>46047</v>
      </c>
      <c r="B331" s="4" t="s">
        <v>42</v>
      </c>
      <c r="C331" s="2" t="str">
        <f t="shared" si="10"/>
        <v>Derby</v>
      </c>
      <c r="D331" s="4" t="s">
        <v>8</v>
      </c>
      <c r="E331" s="2" t="str">
        <f t="shared" si="11"/>
        <v>Formal</v>
      </c>
      <c r="F331" s="4" t="s">
        <v>9</v>
      </c>
      <c r="G331" s="4" t="s">
        <v>10</v>
      </c>
      <c r="H331" s="4" t="str">
        <f>PROPER(Shoe_Sales[[#This Row],[Brand]])</f>
        <v>Clarks</v>
      </c>
      <c r="I331" s="4" t="s">
        <v>21</v>
      </c>
      <c r="J331" s="5">
        <v>5</v>
      </c>
      <c r="K331" s="4" t="s">
        <v>81</v>
      </c>
      <c r="L331" s="12">
        <f>VLOOKUP(Shoe_Sales[[#This Row],[Product Cleaned]],Price!$A$2:$C$9,2,FALSE)</f>
        <v>32</v>
      </c>
      <c r="M331" s="12">
        <f>VLOOKUP(Shoe_Sales[[#This Row],[Product Cleaned]],Price!$A$2:$C$9,3,0)</f>
        <v>14</v>
      </c>
      <c r="N331" s="12">
        <f>(Shoe_Sales[[#This Row],[Quantity]]*Shoe_Sales[[#This Row],[Selling Price]])</f>
        <v>160</v>
      </c>
      <c r="O331" s="12">
        <f>(Shoe_Sales[[#This Row],[Quantity]]*Shoe_Sales[[#This Row],[Cost Price]])</f>
        <v>70</v>
      </c>
      <c r="P331" s="12">
        <f>(Shoe_Sales[[#This Row],[Revenue]]-Shoe_Sales[[#This Row],[Cost]])</f>
        <v>90</v>
      </c>
      <c r="Q331" s="15">
        <f>(Shoe_Sales[[#This Row],[Profit]]/Shoe_Sales[[#This Row],[Revenue]])</f>
        <v>0.5625</v>
      </c>
    </row>
    <row r="332" spans="1:17" x14ac:dyDescent="0.25">
      <c r="A332" s="8">
        <v>46128</v>
      </c>
      <c r="B332" s="2" t="s">
        <v>63</v>
      </c>
      <c r="C332" s="2" t="str">
        <f t="shared" si="10"/>
        <v>Monk Straps</v>
      </c>
      <c r="D332" s="2" t="s">
        <v>39</v>
      </c>
      <c r="E332" s="2" t="str">
        <f t="shared" si="11"/>
        <v>Formal</v>
      </c>
      <c r="F332" s="2" t="s">
        <v>9</v>
      </c>
      <c r="G332" s="2" t="s">
        <v>49</v>
      </c>
      <c r="H332" s="2" t="str">
        <f>PROPER(Shoe_Sales[[#This Row],[Brand]])</f>
        <v>Nike</v>
      </c>
      <c r="I332" s="2" t="s">
        <v>61</v>
      </c>
      <c r="J332" s="3">
        <v>10</v>
      </c>
      <c r="K332" s="2" t="s">
        <v>82</v>
      </c>
      <c r="L332" s="12">
        <f>VLOOKUP(Shoe_Sales[[#This Row],[Product Cleaned]],Price!$A$2:$C$9,2,FALSE)</f>
        <v>89</v>
      </c>
      <c r="M332" s="12">
        <f>VLOOKUP(Shoe_Sales[[#This Row],[Product Cleaned]],Price!$A$2:$C$9,3,0)</f>
        <v>47</v>
      </c>
      <c r="N332" s="12">
        <f>(Shoe_Sales[[#This Row],[Quantity]]*Shoe_Sales[[#This Row],[Selling Price]])</f>
        <v>890</v>
      </c>
      <c r="O332" s="12">
        <f>(Shoe_Sales[[#This Row],[Quantity]]*Shoe_Sales[[#This Row],[Cost Price]])</f>
        <v>470</v>
      </c>
      <c r="P332" s="12">
        <f>(Shoe_Sales[[#This Row],[Revenue]]-Shoe_Sales[[#This Row],[Cost]])</f>
        <v>420</v>
      </c>
      <c r="Q332" s="15">
        <f>(Shoe_Sales[[#This Row],[Profit]]/Shoe_Sales[[#This Row],[Revenue]])</f>
        <v>0.47191011235955055</v>
      </c>
    </row>
    <row r="333" spans="1:17" x14ac:dyDescent="0.25">
      <c r="A333" s="9">
        <v>46041</v>
      </c>
      <c r="B333" s="4" t="s">
        <v>76</v>
      </c>
      <c r="C333" s="2" t="str">
        <f t="shared" si="10"/>
        <v>Monk Straps</v>
      </c>
      <c r="D333" s="4" t="s">
        <v>8</v>
      </c>
      <c r="E333" s="2" t="str">
        <f t="shared" si="11"/>
        <v>Formal</v>
      </c>
      <c r="F333" s="4" t="s">
        <v>29</v>
      </c>
      <c r="G333" s="4" t="s">
        <v>10</v>
      </c>
      <c r="H333" s="4" t="str">
        <f>PROPER(Shoe_Sales[[#This Row],[Brand]])</f>
        <v>Clarks</v>
      </c>
      <c r="I333" s="4" t="s">
        <v>43</v>
      </c>
      <c r="J333" s="5">
        <v>5</v>
      </c>
      <c r="K333" s="4" t="s">
        <v>82</v>
      </c>
      <c r="L333" s="12">
        <f>VLOOKUP(Shoe_Sales[[#This Row],[Product Cleaned]],Price!$A$2:$C$9,2,FALSE)</f>
        <v>89</v>
      </c>
      <c r="M333" s="12">
        <f>VLOOKUP(Shoe_Sales[[#This Row],[Product Cleaned]],Price!$A$2:$C$9,3,0)</f>
        <v>47</v>
      </c>
      <c r="N333" s="12">
        <f>(Shoe_Sales[[#This Row],[Quantity]]*Shoe_Sales[[#This Row],[Selling Price]])</f>
        <v>445</v>
      </c>
      <c r="O333" s="12">
        <f>(Shoe_Sales[[#This Row],[Quantity]]*Shoe_Sales[[#This Row],[Cost Price]])</f>
        <v>235</v>
      </c>
      <c r="P333" s="12">
        <f>(Shoe_Sales[[#This Row],[Revenue]]-Shoe_Sales[[#This Row],[Cost]])</f>
        <v>210</v>
      </c>
      <c r="Q333" s="15">
        <f>(Shoe_Sales[[#This Row],[Profit]]/Shoe_Sales[[#This Row],[Revenue]])</f>
        <v>0.47191011235955055</v>
      </c>
    </row>
    <row r="334" spans="1:17" x14ac:dyDescent="0.25">
      <c r="A334" s="8">
        <v>46142</v>
      </c>
      <c r="B334" s="2" t="s">
        <v>65</v>
      </c>
      <c r="C334" s="2" t="str">
        <f t="shared" si="10"/>
        <v>Canvas</v>
      </c>
      <c r="D334" s="2" t="s">
        <v>13</v>
      </c>
      <c r="E334" s="2" t="str">
        <f t="shared" si="11"/>
        <v>Casual</v>
      </c>
      <c r="F334" s="2" t="s">
        <v>29</v>
      </c>
      <c r="G334" s="2" t="s">
        <v>60</v>
      </c>
      <c r="H334" s="2" t="str">
        <f>PROPER(Shoe_Sales[[#This Row],[Brand]])</f>
        <v>Clarks</v>
      </c>
      <c r="I334" s="2" t="s">
        <v>37</v>
      </c>
      <c r="J334" s="3">
        <v>7</v>
      </c>
      <c r="K334" s="2" t="s">
        <v>79</v>
      </c>
      <c r="L334" s="12">
        <f>VLOOKUP(Shoe_Sales[[#This Row],[Product Cleaned]],Price!$A$2:$C$9,2,FALSE)</f>
        <v>128</v>
      </c>
      <c r="M334" s="12">
        <f>VLOOKUP(Shoe_Sales[[#This Row],[Product Cleaned]],Price!$A$2:$C$9,3,0)</f>
        <v>72</v>
      </c>
      <c r="N334" s="12">
        <f>(Shoe_Sales[[#This Row],[Quantity]]*Shoe_Sales[[#This Row],[Selling Price]])</f>
        <v>896</v>
      </c>
      <c r="O334" s="12">
        <f>(Shoe_Sales[[#This Row],[Quantity]]*Shoe_Sales[[#This Row],[Cost Price]])</f>
        <v>504</v>
      </c>
      <c r="P334" s="12">
        <f>(Shoe_Sales[[#This Row],[Revenue]]-Shoe_Sales[[#This Row],[Cost]])</f>
        <v>392</v>
      </c>
      <c r="Q334" s="15">
        <f>(Shoe_Sales[[#This Row],[Profit]]/Shoe_Sales[[#This Row],[Revenue]])</f>
        <v>0.4375</v>
      </c>
    </row>
    <row r="335" spans="1:17" x14ac:dyDescent="0.25">
      <c r="A335" s="9">
        <v>46167</v>
      </c>
      <c r="B335" s="4" t="s">
        <v>76</v>
      </c>
      <c r="C335" s="2" t="str">
        <f t="shared" si="10"/>
        <v>Monk Straps</v>
      </c>
      <c r="D335" s="4" t="s">
        <v>33</v>
      </c>
      <c r="E335" s="2" t="str">
        <f t="shared" si="11"/>
        <v>Formal</v>
      </c>
      <c r="F335" s="4" t="s">
        <v>9</v>
      </c>
      <c r="G335" s="4" t="s">
        <v>69</v>
      </c>
      <c r="H335" s="4" t="str">
        <f>PROPER(Shoe_Sales[[#This Row],[Brand]])</f>
        <v>Nike</v>
      </c>
      <c r="I335" s="4" t="s">
        <v>31</v>
      </c>
      <c r="J335" s="5">
        <v>5</v>
      </c>
      <c r="K335" s="4" t="s">
        <v>81</v>
      </c>
      <c r="L335" s="12">
        <f>VLOOKUP(Shoe_Sales[[#This Row],[Product Cleaned]],Price!$A$2:$C$9,2,FALSE)</f>
        <v>89</v>
      </c>
      <c r="M335" s="12">
        <f>VLOOKUP(Shoe_Sales[[#This Row],[Product Cleaned]],Price!$A$2:$C$9,3,0)</f>
        <v>47</v>
      </c>
      <c r="N335" s="12">
        <f>(Shoe_Sales[[#This Row],[Quantity]]*Shoe_Sales[[#This Row],[Selling Price]])</f>
        <v>445</v>
      </c>
      <c r="O335" s="12">
        <f>(Shoe_Sales[[#This Row],[Quantity]]*Shoe_Sales[[#This Row],[Cost Price]])</f>
        <v>235</v>
      </c>
      <c r="P335" s="12">
        <f>(Shoe_Sales[[#This Row],[Revenue]]-Shoe_Sales[[#This Row],[Cost]])</f>
        <v>210</v>
      </c>
      <c r="Q335" s="15">
        <f>(Shoe_Sales[[#This Row],[Profit]]/Shoe_Sales[[#This Row],[Revenue]])</f>
        <v>0.47191011235955055</v>
      </c>
    </row>
    <row r="336" spans="1:17" x14ac:dyDescent="0.25">
      <c r="A336" s="8">
        <v>46042</v>
      </c>
      <c r="B336" s="2" t="s">
        <v>42</v>
      </c>
      <c r="C336" s="2" t="str">
        <f t="shared" si="10"/>
        <v>Derby</v>
      </c>
      <c r="D336" s="2" t="s">
        <v>23</v>
      </c>
      <c r="E336" s="2" t="str">
        <f t="shared" si="11"/>
        <v>Casual</v>
      </c>
      <c r="F336" s="2" t="s">
        <v>29</v>
      </c>
      <c r="G336" s="2" t="s">
        <v>10</v>
      </c>
      <c r="H336" s="2" t="str">
        <f>PROPER(Shoe_Sales[[#This Row],[Brand]])</f>
        <v>Clarks</v>
      </c>
      <c r="I336" s="2" t="s">
        <v>35</v>
      </c>
      <c r="J336" s="3">
        <v>4</v>
      </c>
      <c r="K336" s="2" t="s">
        <v>81</v>
      </c>
      <c r="L336" s="12">
        <f>VLOOKUP(Shoe_Sales[[#This Row],[Product Cleaned]],Price!$A$2:$C$9,2,FALSE)</f>
        <v>32</v>
      </c>
      <c r="M336" s="12">
        <f>VLOOKUP(Shoe_Sales[[#This Row],[Product Cleaned]],Price!$A$2:$C$9,3,0)</f>
        <v>14</v>
      </c>
      <c r="N336" s="12">
        <f>(Shoe_Sales[[#This Row],[Quantity]]*Shoe_Sales[[#This Row],[Selling Price]])</f>
        <v>128</v>
      </c>
      <c r="O336" s="12">
        <f>(Shoe_Sales[[#This Row],[Quantity]]*Shoe_Sales[[#This Row],[Cost Price]])</f>
        <v>56</v>
      </c>
      <c r="P336" s="12">
        <f>(Shoe_Sales[[#This Row],[Revenue]]-Shoe_Sales[[#This Row],[Cost]])</f>
        <v>72</v>
      </c>
      <c r="Q336" s="15">
        <f>(Shoe_Sales[[#This Row],[Profit]]/Shoe_Sales[[#This Row],[Revenue]])</f>
        <v>0.5625</v>
      </c>
    </row>
    <row r="337" spans="1:17" x14ac:dyDescent="0.25">
      <c r="A337" s="9">
        <v>46173</v>
      </c>
      <c r="B337" s="4" t="s">
        <v>22</v>
      </c>
      <c r="C337" s="2" t="str">
        <f t="shared" si="10"/>
        <v>Loafers</v>
      </c>
      <c r="D337" s="4" t="s">
        <v>39</v>
      </c>
      <c r="E337" s="2" t="str">
        <f t="shared" si="11"/>
        <v>Formal</v>
      </c>
      <c r="F337" s="4" t="s">
        <v>19</v>
      </c>
      <c r="G337" s="4" t="s">
        <v>34</v>
      </c>
      <c r="H337" s="4" t="str">
        <f>PROPER(Shoe_Sales[[#This Row],[Brand]])</f>
        <v>Clarks</v>
      </c>
      <c r="I337" s="4" t="s">
        <v>58</v>
      </c>
      <c r="J337" s="5">
        <v>10</v>
      </c>
      <c r="K337" s="4" t="s">
        <v>79</v>
      </c>
      <c r="L337" s="12">
        <f>VLOOKUP(Shoe_Sales[[#This Row],[Product Cleaned]],Price!$A$2:$C$9,2,FALSE)</f>
        <v>54</v>
      </c>
      <c r="M337" s="12">
        <f>VLOOKUP(Shoe_Sales[[#This Row],[Product Cleaned]],Price!$A$2:$C$9,3,0)</f>
        <v>28</v>
      </c>
      <c r="N337" s="12">
        <f>(Shoe_Sales[[#This Row],[Quantity]]*Shoe_Sales[[#This Row],[Selling Price]])</f>
        <v>540</v>
      </c>
      <c r="O337" s="12">
        <f>(Shoe_Sales[[#This Row],[Quantity]]*Shoe_Sales[[#This Row],[Cost Price]])</f>
        <v>280</v>
      </c>
      <c r="P337" s="12">
        <f>(Shoe_Sales[[#This Row],[Revenue]]-Shoe_Sales[[#This Row],[Cost]])</f>
        <v>260</v>
      </c>
      <c r="Q337" s="15">
        <f>(Shoe_Sales[[#This Row],[Profit]]/Shoe_Sales[[#This Row],[Revenue]])</f>
        <v>0.48148148148148145</v>
      </c>
    </row>
    <row r="338" spans="1:17" x14ac:dyDescent="0.25">
      <c r="A338" s="8">
        <v>46030</v>
      </c>
      <c r="B338" s="2" t="s">
        <v>64</v>
      </c>
      <c r="C338" s="2" t="str">
        <f t="shared" si="10"/>
        <v>Derby</v>
      </c>
      <c r="D338" s="2" t="s">
        <v>52</v>
      </c>
      <c r="E338" s="2" t="str">
        <f t="shared" si="11"/>
        <v>Casual</v>
      </c>
      <c r="F338" s="2" t="s">
        <v>29</v>
      </c>
      <c r="G338" s="2" t="s">
        <v>34</v>
      </c>
      <c r="H338" s="2" t="str">
        <f>PROPER(Shoe_Sales[[#This Row],[Brand]])</f>
        <v>Clarks</v>
      </c>
      <c r="I338" s="2" t="s">
        <v>61</v>
      </c>
      <c r="J338" s="3">
        <v>12</v>
      </c>
      <c r="K338" s="2" t="s">
        <v>80</v>
      </c>
      <c r="L338" s="12">
        <f>VLOOKUP(Shoe_Sales[[#This Row],[Product Cleaned]],Price!$A$2:$C$9,2,FALSE)</f>
        <v>32</v>
      </c>
      <c r="M338" s="12">
        <f>VLOOKUP(Shoe_Sales[[#This Row],[Product Cleaned]],Price!$A$2:$C$9,3,0)</f>
        <v>14</v>
      </c>
      <c r="N338" s="12">
        <f>(Shoe_Sales[[#This Row],[Quantity]]*Shoe_Sales[[#This Row],[Selling Price]])</f>
        <v>384</v>
      </c>
      <c r="O338" s="12">
        <f>(Shoe_Sales[[#This Row],[Quantity]]*Shoe_Sales[[#This Row],[Cost Price]])</f>
        <v>168</v>
      </c>
      <c r="P338" s="12">
        <f>(Shoe_Sales[[#This Row],[Revenue]]-Shoe_Sales[[#This Row],[Cost]])</f>
        <v>216</v>
      </c>
      <c r="Q338" s="15">
        <f>(Shoe_Sales[[#This Row],[Profit]]/Shoe_Sales[[#This Row],[Revenue]])</f>
        <v>0.5625</v>
      </c>
    </row>
    <row r="339" spans="1:17" x14ac:dyDescent="0.25">
      <c r="A339" s="9">
        <v>46157</v>
      </c>
      <c r="B339" s="4" t="s">
        <v>44</v>
      </c>
      <c r="C339" s="2" t="str">
        <f t="shared" si="10"/>
        <v>Canvas</v>
      </c>
      <c r="D339" s="4" t="s">
        <v>39</v>
      </c>
      <c r="E339" s="2" t="str">
        <f t="shared" si="11"/>
        <v>Formal</v>
      </c>
      <c r="F339" s="4" t="s">
        <v>19</v>
      </c>
      <c r="G339" s="4" t="s">
        <v>60</v>
      </c>
      <c r="H339" s="4" t="str">
        <f>PROPER(Shoe_Sales[[#This Row],[Brand]])</f>
        <v>Clarks</v>
      </c>
      <c r="I339" s="4" t="s">
        <v>31</v>
      </c>
      <c r="J339" s="5">
        <v>8</v>
      </c>
      <c r="K339" s="4" t="s">
        <v>79</v>
      </c>
      <c r="L339" s="12">
        <f>VLOOKUP(Shoe_Sales[[#This Row],[Product Cleaned]],Price!$A$2:$C$9,2,FALSE)</f>
        <v>128</v>
      </c>
      <c r="M339" s="12">
        <f>VLOOKUP(Shoe_Sales[[#This Row],[Product Cleaned]],Price!$A$2:$C$9,3,0)</f>
        <v>72</v>
      </c>
      <c r="N339" s="12">
        <f>(Shoe_Sales[[#This Row],[Quantity]]*Shoe_Sales[[#This Row],[Selling Price]])</f>
        <v>1024</v>
      </c>
      <c r="O339" s="12">
        <f>(Shoe_Sales[[#This Row],[Quantity]]*Shoe_Sales[[#This Row],[Cost Price]])</f>
        <v>576</v>
      </c>
      <c r="P339" s="12">
        <f>(Shoe_Sales[[#This Row],[Revenue]]-Shoe_Sales[[#This Row],[Cost]])</f>
        <v>448</v>
      </c>
      <c r="Q339" s="15">
        <f>(Shoe_Sales[[#This Row],[Profit]]/Shoe_Sales[[#This Row],[Revenue]])</f>
        <v>0.4375</v>
      </c>
    </row>
    <row r="340" spans="1:17" x14ac:dyDescent="0.25">
      <c r="A340" s="8">
        <v>46035</v>
      </c>
      <c r="B340" s="2" t="s">
        <v>32</v>
      </c>
      <c r="C340" s="2" t="str">
        <f t="shared" si="10"/>
        <v>Oxford</v>
      </c>
      <c r="D340" s="2" t="s">
        <v>33</v>
      </c>
      <c r="E340" s="2" t="str">
        <f t="shared" si="11"/>
        <v>Formal</v>
      </c>
      <c r="F340" s="2" t="s">
        <v>14</v>
      </c>
      <c r="G340" s="2" t="s">
        <v>30</v>
      </c>
      <c r="H340" s="2" t="str">
        <f>PROPER(Shoe_Sales[[#This Row],[Brand]])</f>
        <v>Timberland</v>
      </c>
      <c r="I340" s="2" t="s">
        <v>16</v>
      </c>
      <c r="J340" s="3">
        <v>4</v>
      </c>
      <c r="K340" s="2" t="s">
        <v>82</v>
      </c>
      <c r="L340" s="12">
        <f>VLOOKUP(Shoe_Sales[[#This Row],[Product Cleaned]],Price!$A$2:$C$9,2,FALSE)</f>
        <v>105</v>
      </c>
      <c r="M340" s="12">
        <f>VLOOKUP(Shoe_Sales[[#This Row],[Product Cleaned]],Price!$A$2:$C$9,3,0)</f>
        <v>58</v>
      </c>
      <c r="N340" s="12">
        <f>(Shoe_Sales[[#This Row],[Quantity]]*Shoe_Sales[[#This Row],[Selling Price]])</f>
        <v>420</v>
      </c>
      <c r="O340" s="12">
        <f>(Shoe_Sales[[#This Row],[Quantity]]*Shoe_Sales[[#This Row],[Cost Price]])</f>
        <v>232</v>
      </c>
      <c r="P340" s="12">
        <f>(Shoe_Sales[[#This Row],[Revenue]]-Shoe_Sales[[#This Row],[Cost]])</f>
        <v>188</v>
      </c>
      <c r="Q340" s="15">
        <f>(Shoe_Sales[[#This Row],[Profit]]/Shoe_Sales[[#This Row],[Revenue]])</f>
        <v>0.44761904761904764</v>
      </c>
    </row>
    <row r="341" spans="1:17" x14ac:dyDescent="0.25">
      <c r="A341" s="9">
        <v>46109</v>
      </c>
      <c r="B341" s="4" t="s">
        <v>44</v>
      </c>
      <c r="C341" s="2" t="str">
        <f t="shared" si="10"/>
        <v>Canvas</v>
      </c>
      <c r="D341" s="4" t="s">
        <v>48</v>
      </c>
      <c r="E341" s="2" t="str">
        <f t="shared" si="11"/>
        <v>Open</v>
      </c>
      <c r="F341" s="4" t="s">
        <v>29</v>
      </c>
      <c r="G341" s="4" t="s">
        <v>34</v>
      </c>
      <c r="H341" s="4" t="str">
        <f>PROPER(Shoe_Sales[[#This Row],[Brand]])</f>
        <v>Clarks</v>
      </c>
      <c r="I341" s="4" t="s">
        <v>58</v>
      </c>
      <c r="J341" s="5">
        <v>13</v>
      </c>
      <c r="K341" s="4" t="s">
        <v>79</v>
      </c>
      <c r="L341" s="12">
        <f>VLOOKUP(Shoe_Sales[[#This Row],[Product Cleaned]],Price!$A$2:$C$9,2,FALSE)</f>
        <v>128</v>
      </c>
      <c r="M341" s="12">
        <f>VLOOKUP(Shoe_Sales[[#This Row],[Product Cleaned]],Price!$A$2:$C$9,3,0)</f>
        <v>72</v>
      </c>
      <c r="N341" s="12">
        <f>(Shoe_Sales[[#This Row],[Quantity]]*Shoe_Sales[[#This Row],[Selling Price]])</f>
        <v>1664</v>
      </c>
      <c r="O341" s="12">
        <f>(Shoe_Sales[[#This Row],[Quantity]]*Shoe_Sales[[#This Row],[Cost Price]])</f>
        <v>936</v>
      </c>
      <c r="P341" s="12">
        <f>(Shoe_Sales[[#This Row],[Revenue]]-Shoe_Sales[[#This Row],[Cost]])</f>
        <v>728</v>
      </c>
      <c r="Q341" s="15">
        <f>(Shoe_Sales[[#This Row],[Profit]]/Shoe_Sales[[#This Row],[Revenue]])</f>
        <v>0.4375</v>
      </c>
    </row>
    <row r="342" spans="1:17" x14ac:dyDescent="0.25">
      <c r="A342" s="8">
        <v>46219</v>
      </c>
      <c r="B342" s="2" t="s">
        <v>55</v>
      </c>
      <c r="C342" s="2" t="str">
        <f t="shared" si="10"/>
        <v>Boots</v>
      </c>
      <c r="D342" s="2" t="s">
        <v>39</v>
      </c>
      <c r="E342" s="2" t="str">
        <f t="shared" si="11"/>
        <v>Formal</v>
      </c>
      <c r="F342" s="2" t="s">
        <v>14</v>
      </c>
      <c r="G342" s="2" t="s">
        <v>66</v>
      </c>
      <c r="H342" s="2" t="str">
        <f>PROPER(Shoe_Sales[[#This Row],[Brand]])</f>
        <v>Steve Madden</v>
      </c>
      <c r="I342" s="2" t="s">
        <v>58</v>
      </c>
      <c r="J342" s="3">
        <v>14</v>
      </c>
      <c r="K342" s="2" t="s">
        <v>80</v>
      </c>
      <c r="L342" s="12">
        <f>VLOOKUP(Shoe_Sales[[#This Row],[Product Cleaned]],Price!$A$2:$C$9,2,FALSE)</f>
        <v>76</v>
      </c>
      <c r="M342" s="12">
        <f>VLOOKUP(Shoe_Sales[[#This Row],[Product Cleaned]],Price!$A$2:$C$9,3,0)</f>
        <v>39</v>
      </c>
      <c r="N342" s="12">
        <f>(Shoe_Sales[[#This Row],[Quantity]]*Shoe_Sales[[#This Row],[Selling Price]])</f>
        <v>1064</v>
      </c>
      <c r="O342" s="12">
        <f>(Shoe_Sales[[#This Row],[Quantity]]*Shoe_Sales[[#This Row],[Cost Price]])</f>
        <v>546</v>
      </c>
      <c r="P342" s="12">
        <f>(Shoe_Sales[[#This Row],[Revenue]]-Shoe_Sales[[#This Row],[Cost]])</f>
        <v>518</v>
      </c>
      <c r="Q342" s="15">
        <f>(Shoe_Sales[[#This Row],[Profit]]/Shoe_Sales[[#This Row],[Revenue]])</f>
        <v>0.48684210526315791</v>
      </c>
    </row>
    <row r="343" spans="1:17" x14ac:dyDescent="0.25">
      <c r="A343" s="9">
        <v>46042</v>
      </c>
      <c r="B343" s="4" t="s">
        <v>55</v>
      </c>
      <c r="C343" s="2" t="str">
        <f t="shared" si="10"/>
        <v>Boots</v>
      </c>
      <c r="D343" s="4" t="s">
        <v>56</v>
      </c>
      <c r="E343" s="2" t="str">
        <f t="shared" si="11"/>
        <v>Utility</v>
      </c>
      <c r="F343" s="4" t="s">
        <v>29</v>
      </c>
      <c r="G343" s="4" t="s">
        <v>73</v>
      </c>
      <c r="H343" s="4" t="str">
        <f>PROPER(Shoe_Sales[[#This Row],[Brand]])</f>
        <v>Timberland</v>
      </c>
      <c r="I343" s="4" t="s">
        <v>54</v>
      </c>
      <c r="J343" s="5">
        <v>1</v>
      </c>
      <c r="K343" s="4" t="s">
        <v>81</v>
      </c>
      <c r="L343" s="12">
        <f>VLOOKUP(Shoe_Sales[[#This Row],[Product Cleaned]],Price!$A$2:$C$9,2,FALSE)</f>
        <v>76</v>
      </c>
      <c r="M343" s="12">
        <f>VLOOKUP(Shoe_Sales[[#This Row],[Product Cleaned]],Price!$A$2:$C$9,3,0)</f>
        <v>39</v>
      </c>
      <c r="N343" s="12">
        <f>(Shoe_Sales[[#This Row],[Quantity]]*Shoe_Sales[[#This Row],[Selling Price]])</f>
        <v>76</v>
      </c>
      <c r="O343" s="12">
        <f>(Shoe_Sales[[#This Row],[Quantity]]*Shoe_Sales[[#This Row],[Cost Price]])</f>
        <v>39</v>
      </c>
      <c r="P343" s="12">
        <f>(Shoe_Sales[[#This Row],[Revenue]]-Shoe_Sales[[#This Row],[Cost]])</f>
        <v>37</v>
      </c>
      <c r="Q343" s="15">
        <f>(Shoe_Sales[[#This Row],[Profit]]/Shoe_Sales[[#This Row],[Revenue]])</f>
        <v>0.48684210526315791</v>
      </c>
    </row>
    <row r="344" spans="1:17" x14ac:dyDescent="0.25">
      <c r="A344" s="8">
        <v>46227</v>
      </c>
      <c r="B344" s="2" t="s">
        <v>36</v>
      </c>
      <c r="C344" s="2" t="str">
        <f t="shared" si="10"/>
        <v>Brogues</v>
      </c>
      <c r="D344" s="2" t="s">
        <v>33</v>
      </c>
      <c r="E344" s="2" t="str">
        <f t="shared" si="11"/>
        <v>Formal</v>
      </c>
      <c r="F344" s="2" t="s">
        <v>19</v>
      </c>
      <c r="G344" s="2" t="s">
        <v>66</v>
      </c>
      <c r="H344" s="2" t="str">
        <f>PROPER(Shoe_Sales[[#This Row],[Brand]])</f>
        <v>Steve Madden</v>
      </c>
      <c r="I344" s="2" t="s">
        <v>37</v>
      </c>
      <c r="J344" s="3">
        <v>15</v>
      </c>
      <c r="K344" s="2" t="s">
        <v>81</v>
      </c>
      <c r="L344" s="12">
        <f>VLOOKUP(Shoe_Sales[[#This Row],[Product Cleaned]],Price!$A$2:$C$9,2,FALSE)</f>
        <v>112</v>
      </c>
      <c r="M344" s="12">
        <f>VLOOKUP(Shoe_Sales[[#This Row],[Product Cleaned]],Price!$A$2:$C$9,3,0)</f>
        <v>64</v>
      </c>
      <c r="N344" s="12">
        <f>(Shoe_Sales[[#This Row],[Quantity]]*Shoe_Sales[[#This Row],[Selling Price]])</f>
        <v>1680</v>
      </c>
      <c r="O344" s="12">
        <f>(Shoe_Sales[[#This Row],[Quantity]]*Shoe_Sales[[#This Row],[Cost Price]])</f>
        <v>960</v>
      </c>
      <c r="P344" s="12">
        <f>(Shoe_Sales[[#This Row],[Revenue]]-Shoe_Sales[[#This Row],[Cost]])</f>
        <v>720</v>
      </c>
      <c r="Q344" s="15">
        <f>(Shoe_Sales[[#This Row],[Profit]]/Shoe_Sales[[#This Row],[Revenue]])</f>
        <v>0.42857142857142855</v>
      </c>
    </row>
    <row r="345" spans="1:17" x14ac:dyDescent="0.25">
      <c r="A345" s="9">
        <v>46180</v>
      </c>
      <c r="B345" s="4" t="s">
        <v>17</v>
      </c>
      <c r="C345" s="2" t="str">
        <f t="shared" si="10"/>
        <v>Slippers</v>
      </c>
      <c r="D345" s="4" t="s">
        <v>13</v>
      </c>
      <c r="E345" s="2" t="str">
        <f t="shared" si="11"/>
        <v>Casual</v>
      </c>
      <c r="F345" s="4" t="s">
        <v>29</v>
      </c>
      <c r="G345" s="4" t="s">
        <v>60</v>
      </c>
      <c r="H345" s="4" t="str">
        <f>PROPER(Shoe_Sales[[#This Row],[Brand]])</f>
        <v>Clarks</v>
      </c>
      <c r="I345" s="4" t="s">
        <v>43</v>
      </c>
      <c r="J345" s="5">
        <v>13</v>
      </c>
      <c r="K345" s="4" t="s">
        <v>79</v>
      </c>
      <c r="L345" s="12">
        <f>VLOOKUP(Shoe_Sales[[#This Row],[Product Cleaned]],Price!$A$2:$C$9,2,FALSE)</f>
        <v>119</v>
      </c>
      <c r="M345" s="12">
        <f>VLOOKUP(Shoe_Sales[[#This Row],[Product Cleaned]],Price!$A$2:$C$9,3,0)</f>
        <v>67</v>
      </c>
      <c r="N345" s="12">
        <f>(Shoe_Sales[[#This Row],[Quantity]]*Shoe_Sales[[#This Row],[Selling Price]])</f>
        <v>1547</v>
      </c>
      <c r="O345" s="12">
        <f>(Shoe_Sales[[#This Row],[Quantity]]*Shoe_Sales[[#This Row],[Cost Price]])</f>
        <v>871</v>
      </c>
      <c r="P345" s="12">
        <f>(Shoe_Sales[[#This Row],[Revenue]]-Shoe_Sales[[#This Row],[Cost]])</f>
        <v>676</v>
      </c>
      <c r="Q345" s="15">
        <f>(Shoe_Sales[[#This Row],[Profit]]/Shoe_Sales[[#This Row],[Revenue]])</f>
        <v>0.43697478991596639</v>
      </c>
    </row>
    <row r="346" spans="1:17" x14ac:dyDescent="0.25">
      <c r="A346" s="8">
        <v>46046</v>
      </c>
      <c r="B346" s="2" t="s">
        <v>44</v>
      </c>
      <c r="C346" s="2" t="str">
        <f t="shared" si="10"/>
        <v>Canvas</v>
      </c>
      <c r="D346" s="2" t="s">
        <v>33</v>
      </c>
      <c r="E346" s="2" t="str">
        <f t="shared" si="11"/>
        <v>Formal</v>
      </c>
      <c r="F346" s="2" t="s">
        <v>24</v>
      </c>
      <c r="G346" s="2" t="s">
        <v>34</v>
      </c>
      <c r="H346" s="2" t="str">
        <f>PROPER(Shoe_Sales[[#This Row],[Brand]])</f>
        <v>Clarks</v>
      </c>
      <c r="I346" s="2" t="s">
        <v>46</v>
      </c>
      <c r="J346" s="3">
        <v>8</v>
      </c>
      <c r="K346" s="2" t="s">
        <v>79</v>
      </c>
      <c r="L346" s="12">
        <f>VLOOKUP(Shoe_Sales[[#This Row],[Product Cleaned]],Price!$A$2:$C$9,2,FALSE)</f>
        <v>128</v>
      </c>
      <c r="M346" s="12">
        <f>VLOOKUP(Shoe_Sales[[#This Row],[Product Cleaned]],Price!$A$2:$C$9,3,0)</f>
        <v>72</v>
      </c>
      <c r="N346" s="12">
        <f>(Shoe_Sales[[#This Row],[Quantity]]*Shoe_Sales[[#This Row],[Selling Price]])</f>
        <v>1024</v>
      </c>
      <c r="O346" s="12">
        <f>(Shoe_Sales[[#This Row],[Quantity]]*Shoe_Sales[[#This Row],[Cost Price]])</f>
        <v>576</v>
      </c>
      <c r="P346" s="12">
        <f>(Shoe_Sales[[#This Row],[Revenue]]-Shoe_Sales[[#This Row],[Cost]])</f>
        <v>448</v>
      </c>
      <c r="Q346" s="15">
        <f>(Shoe_Sales[[#This Row],[Profit]]/Shoe_Sales[[#This Row],[Revenue]])</f>
        <v>0.4375</v>
      </c>
    </row>
    <row r="347" spans="1:17" x14ac:dyDescent="0.25">
      <c r="A347" s="9">
        <v>46078</v>
      </c>
      <c r="B347" s="4" t="s">
        <v>55</v>
      </c>
      <c r="C347" s="2" t="str">
        <f t="shared" si="10"/>
        <v>Boots</v>
      </c>
      <c r="D347" s="4" t="s">
        <v>56</v>
      </c>
      <c r="E347" s="2" t="str">
        <f t="shared" si="11"/>
        <v>Utility</v>
      </c>
      <c r="F347" s="4" t="s">
        <v>29</v>
      </c>
      <c r="G347" s="4" t="s">
        <v>25</v>
      </c>
      <c r="H347" s="4" t="str">
        <f>PROPER(Shoe_Sales[[#This Row],[Brand]])</f>
        <v>Zara</v>
      </c>
      <c r="I347" s="4" t="s">
        <v>26</v>
      </c>
      <c r="J347" s="5">
        <v>8</v>
      </c>
      <c r="K347" s="4" t="s">
        <v>81</v>
      </c>
      <c r="L347" s="12">
        <f>VLOOKUP(Shoe_Sales[[#This Row],[Product Cleaned]],Price!$A$2:$C$9,2,FALSE)</f>
        <v>76</v>
      </c>
      <c r="M347" s="12">
        <f>VLOOKUP(Shoe_Sales[[#This Row],[Product Cleaned]],Price!$A$2:$C$9,3,0)</f>
        <v>39</v>
      </c>
      <c r="N347" s="12">
        <f>(Shoe_Sales[[#This Row],[Quantity]]*Shoe_Sales[[#This Row],[Selling Price]])</f>
        <v>608</v>
      </c>
      <c r="O347" s="12">
        <f>(Shoe_Sales[[#This Row],[Quantity]]*Shoe_Sales[[#This Row],[Cost Price]])</f>
        <v>312</v>
      </c>
      <c r="P347" s="12">
        <f>(Shoe_Sales[[#This Row],[Revenue]]-Shoe_Sales[[#This Row],[Cost]])</f>
        <v>296</v>
      </c>
      <c r="Q347" s="15">
        <f>(Shoe_Sales[[#This Row],[Profit]]/Shoe_Sales[[#This Row],[Revenue]])</f>
        <v>0.48684210526315791</v>
      </c>
    </row>
    <row r="348" spans="1:17" x14ac:dyDescent="0.25">
      <c r="A348" s="8">
        <v>46142</v>
      </c>
      <c r="B348" s="2" t="s">
        <v>36</v>
      </c>
      <c r="C348" s="2" t="str">
        <f t="shared" si="10"/>
        <v>Brogues</v>
      </c>
      <c r="D348" s="2" t="s">
        <v>72</v>
      </c>
      <c r="E348" s="2" t="str">
        <f t="shared" si="11"/>
        <v>Utility</v>
      </c>
      <c r="F348" s="2" t="s">
        <v>9</v>
      </c>
      <c r="G348" s="2" t="s">
        <v>49</v>
      </c>
      <c r="H348" s="2" t="str">
        <f>PROPER(Shoe_Sales[[#This Row],[Brand]])</f>
        <v>Nike</v>
      </c>
      <c r="I348" s="2" t="s">
        <v>46</v>
      </c>
      <c r="J348" s="3">
        <v>10</v>
      </c>
      <c r="K348" s="2" t="s">
        <v>82</v>
      </c>
      <c r="L348" s="12">
        <f>VLOOKUP(Shoe_Sales[[#This Row],[Product Cleaned]],Price!$A$2:$C$9,2,FALSE)</f>
        <v>112</v>
      </c>
      <c r="M348" s="12">
        <f>VLOOKUP(Shoe_Sales[[#This Row],[Product Cleaned]],Price!$A$2:$C$9,3,0)</f>
        <v>64</v>
      </c>
      <c r="N348" s="12">
        <f>(Shoe_Sales[[#This Row],[Quantity]]*Shoe_Sales[[#This Row],[Selling Price]])</f>
        <v>1120</v>
      </c>
      <c r="O348" s="12">
        <f>(Shoe_Sales[[#This Row],[Quantity]]*Shoe_Sales[[#This Row],[Cost Price]])</f>
        <v>640</v>
      </c>
      <c r="P348" s="12">
        <f>(Shoe_Sales[[#This Row],[Revenue]]-Shoe_Sales[[#This Row],[Cost]])</f>
        <v>480</v>
      </c>
      <c r="Q348" s="15">
        <f>(Shoe_Sales[[#This Row],[Profit]]/Shoe_Sales[[#This Row],[Revenue]])</f>
        <v>0.42857142857142855</v>
      </c>
    </row>
    <row r="349" spans="1:17" x14ac:dyDescent="0.25">
      <c r="A349" s="9">
        <v>46025</v>
      </c>
      <c r="B349" s="4" t="s">
        <v>22</v>
      </c>
      <c r="C349" s="2" t="str">
        <f t="shared" si="10"/>
        <v>Loafers</v>
      </c>
      <c r="D349" s="4" t="s">
        <v>52</v>
      </c>
      <c r="E349" s="2" t="str">
        <f t="shared" si="11"/>
        <v>Casual</v>
      </c>
      <c r="F349" s="4" t="s">
        <v>24</v>
      </c>
      <c r="G349" s="4" t="s">
        <v>10</v>
      </c>
      <c r="H349" s="4" t="str">
        <f>PROPER(Shoe_Sales[[#This Row],[Brand]])</f>
        <v>Clarks</v>
      </c>
      <c r="I349" s="4" t="s">
        <v>16</v>
      </c>
      <c r="J349" s="5">
        <v>14</v>
      </c>
      <c r="K349" s="4" t="s">
        <v>81</v>
      </c>
      <c r="L349" s="12">
        <f>VLOOKUP(Shoe_Sales[[#This Row],[Product Cleaned]],Price!$A$2:$C$9,2,FALSE)</f>
        <v>54</v>
      </c>
      <c r="M349" s="12">
        <f>VLOOKUP(Shoe_Sales[[#This Row],[Product Cleaned]],Price!$A$2:$C$9,3,0)</f>
        <v>28</v>
      </c>
      <c r="N349" s="12">
        <f>(Shoe_Sales[[#This Row],[Quantity]]*Shoe_Sales[[#This Row],[Selling Price]])</f>
        <v>756</v>
      </c>
      <c r="O349" s="12">
        <f>(Shoe_Sales[[#This Row],[Quantity]]*Shoe_Sales[[#This Row],[Cost Price]])</f>
        <v>392</v>
      </c>
      <c r="P349" s="12">
        <f>(Shoe_Sales[[#This Row],[Revenue]]-Shoe_Sales[[#This Row],[Cost]])</f>
        <v>364</v>
      </c>
      <c r="Q349" s="15">
        <f>(Shoe_Sales[[#This Row],[Profit]]/Shoe_Sales[[#This Row],[Revenue]])</f>
        <v>0.48148148148148145</v>
      </c>
    </row>
    <row r="350" spans="1:17" x14ac:dyDescent="0.25">
      <c r="A350" s="8">
        <v>46183</v>
      </c>
      <c r="B350" s="2" t="s">
        <v>51</v>
      </c>
      <c r="C350" s="2" t="str">
        <f t="shared" si="10"/>
        <v>Loafers</v>
      </c>
      <c r="D350" s="2" t="s">
        <v>18</v>
      </c>
      <c r="E350" s="2" t="str">
        <f t="shared" si="11"/>
        <v>Open</v>
      </c>
      <c r="F350" s="2" t="s">
        <v>14</v>
      </c>
      <c r="G350" s="2" t="s">
        <v>53</v>
      </c>
      <c r="H350" s="2" t="str">
        <f>PROPER(Shoe_Sales[[#This Row],[Brand]])</f>
        <v>Zara</v>
      </c>
      <c r="I350" s="2" t="s">
        <v>35</v>
      </c>
      <c r="J350" s="3">
        <v>1</v>
      </c>
      <c r="K350" s="2" t="s">
        <v>81</v>
      </c>
      <c r="L350" s="12">
        <f>VLOOKUP(Shoe_Sales[[#This Row],[Product Cleaned]],Price!$A$2:$C$9,2,FALSE)</f>
        <v>54</v>
      </c>
      <c r="M350" s="12">
        <f>VLOOKUP(Shoe_Sales[[#This Row],[Product Cleaned]],Price!$A$2:$C$9,3,0)</f>
        <v>28</v>
      </c>
      <c r="N350" s="12">
        <f>(Shoe_Sales[[#This Row],[Quantity]]*Shoe_Sales[[#This Row],[Selling Price]])</f>
        <v>54</v>
      </c>
      <c r="O350" s="12">
        <f>(Shoe_Sales[[#This Row],[Quantity]]*Shoe_Sales[[#This Row],[Cost Price]])</f>
        <v>28</v>
      </c>
      <c r="P350" s="12">
        <f>(Shoe_Sales[[#This Row],[Revenue]]-Shoe_Sales[[#This Row],[Cost]])</f>
        <v>26</v>
      </c>
      <c r="Q350" s="15">
        <f>(Shoe_Sales[[#This Row],[Profit]]/Shoe_Sales[[#This Row],[Revenue]])</f>
        <v>0.48148148148148145</v>
      </c>
    </row>
    <row r="351" spans="1:17" x14ac:dyDescent="0.25">
      <c r="A351" s="9">
        <v>46080</v>
      </c>
      <c r="B351" s="4" t="s">
        <v>76</v>
      </c>
      <c r="C351" s="2" t="str">
        <f t="shared" si="10"/>
        <v>Monk Straps</v>
      </c>
      <c r="D351" s="4" t="s">
        <v>13</v>
      </c>
      <c r="E351" s="2" t="str">
        <f t="shared" si="11"/>
        <v>Casual</v>
      </c>
      <c r="F351" s="4" t="s">
        <v>19</v>
      </c>
      <c r="G351" s="4" t="s">
        <v>73</v>
      </c>
      <c r="H351" s="4" t="str">
        <f>PROPER(Shoe_Sales[[#This Row],[Brand]])</f>
        <v>Timberland</v>
      </c>
      <c r="I351" s="4" t="s">
        <v>26</v>
      </c>
      <c r="J351" s="5">
        <v>11</v>
      </c>
      <c r="K351" s="4" t="s">
        <v>80</v>
      </c>
      <c r="L351" s="12">
        <f>VLOOKUP(Shoe_Sales[[#This Row],[Product Cleaned]],Price!$A$2:$C$9,2,FALSE)</f>
        <v>89</v>
      </c>
      <c r="M351" s="12">
        <f>VLOOKUP(Shoe_Sales[[#This Row],[Product Cleaned]],Price!$A$2:$C$9,3,0)</f>
        <v>47</v>
      </c>
      <c r="N351" s="12">
        <f>(Shoe_Sales[[#This Row],[Quantity]]*Shoe_Sales[[#This Row],[Selling Price]])</f>
        <v>979</v>
      </c>
      <c r="O351" s="12">
        <f>(Shoe_Sales[[#This Row],[Quantity]]*Shoe_Sales[[#This Row],[Cost Price]])</f>
        <v>517</v>
      </c>
      <c r="P351" s="12">
        <f>(Shoe_Sales[[#This Row],[Revenue]]-Shoe_Sales[[#This Row],[Cost]])</f>
        <v>462</v>
      </c>
      <c r="Q351" s="15">
        <f>(Shoe_Sales[[#This Row],[Profit]]/Shoe_Sales[[#This Row],[Revenue]])</f>
        <v>0.47191011235955055</v>
      </c>
    </row>
    <row r="352" spans="1:17" x14ac:dyDescent="0.25">
      <c r="A352" s="8">
        <v>46201</v>
      </c>
      <c r="B352" s="2" t="s">
        <v>27</v>
      </c>
      <c r="C352" s="2" t="str">
        <f t="shared" si="10"/>
        <v>Boots</v>
      </c>
      <c r="D352" s="2" t="s">
        <v>56</v>
      </c>
      <c r="E352" s="2" t="str">
        <f t="shared" si="11"/>
        <v>Utility</v>
      </c>
      <c r="F352" s="2" t="s">
        <v>24</v>
      </c>
      <c r="G352" s="2" t="s">
        <v>30</v>
      </c>
      <c r="H352" s="2" t="str">
        <f>PROPER(Shoe_Sales[[#This Row],[Brand]])</f>
        <v>Timberland</v>
      </c>
      <c r="I352" s="2" t="s">
        <v>16</v>
      </c>
      <c r="J352" s="3">
        <v>8</v>
      </c>
      <c r="K352" s="2" t="s">
        <v>80</v>
      </c>
      <c r="L352" s="12">
        <f>VLOOKUP(Shoe_Sales[[#This Row],[Product Cleaned]],Price!$A$2:$C$9,2,FALSE)</f>
        <v>76</v>
      </c>
      <c r="M352" s="12">
        <f>VLOOKUP(Shoe_Sales[[#This Row],[Product Cleaned]],Price!$A$2:$C$9,3,0)</f>
        <v>39</v>
      </c>
      <c r="N352" s="12">
        <f>(Shoe_Sales[[#This Row],[Quantity]]*Shoe_Sales[[#This Row],[Selling Price]])</f>
        <v>608</v>
      </c>
      <c r="O352" s="12">
        <f>(Shoe_Sales[[#This Row],[Quantity]]*Shoe_Sales[[#This Row],[Cost Price]])</f>
        <v>312</v>
      </c>
      <c r="P352" s="12">
        <f>(Shoe_Sales[[#This Row],[Revenue]]-Shoe_Sales[[#This Row],[Cost]])</f>
        <v>296</v>
      </c>
      <c r="Q352" s="15">
        <f>(Shoe_Sales[[#This Row],[Profit]]/Shoe_Sales[[#This Row],[Revenue]])</f>
        <v>0.48684210526315791</v>
      </c>
    </row>
    <row r="353" spans="1:17" x14ac:dyDescent="0.25">
      <c r="A353" s="9">
        <v>46058</v>
      </c>
      <c r="B353" s="4" t="s">
        <v>76</v>
      </c>
      <c r="C353" s="2" t="str">
        <f t="shared" si="10"/>
        <v>Monk Straps</v>
      </c>
      <c r="D353" s="4" t="s">
        <v>56</v>
      </c>
      <c r="E353" s="2" t="str">
        <f t="shared" si="11"/>
        <v>Utility</v>
      </c>
      <c r="F353" s="4" t="s">
        <v>14</v>
      </c>
      <c r="G353" s="4" t="s">
        <v>60</v>
      </c>
      <c r="H353" s="4" t="str">
        <f>PROPER(Shoe_Sales[[#This Row],[Brand]])</f>
        <v>Clarks</v>
      </c>
      <c r="I353" s="4" t="s">
        <v>37</v>
      </c>
      <c r="J353" s="5">
        <v>13</v>
      </c>
      <c r="K353" s="4" t="s">
        <v>81</v>
      </c>
      <c r="L353" s="12">
        <f>VLOOKUP(Shoe_Sales[[#This Row],[Product Cleaned]],Price!$A$2:$C$9,2,FALSE)</f>
        <v>89</v>
      </c>
      <c r="M353" s="12">
        <f>VLOOKUP(Shoe_Sales[[#This Row],[Product Cleaned]],Price!$A$2:$C$9,3,0)</f>
        <v>47</v>
      </c>
      <c r="N353" s="12">
        <f>(Shoe_Sales[[#This Row],[Quantity]]*Shoe_Sales[[#This Row],[Selling Price]])</f>
        <v>1157</v>
      </c>
      <c r="O353" s="12">
        <f>(Shoe_Sales[[#This Row],[Quantity]]*Shoe_Sales[[#This Row],[Cost Price]])</f>
        <v>611</v>
      </c>
      <c r="P353" s="12">
        <f>(Shoe_Sales[[#This Row],[Revenue]]-Shoe_Sales[[#This Row],[Cost]])</f>
        <v>546</v>
      </c>
      <c r="Q353" s="15">
        <f>(Shoe_Sales[[#This Row],[Profit]]/Shoe_Sales[[#This Row],[Revenue]])</f>
        <v>0.47191011235955055</v>
      </c>
    </row>
    <row r="354" spans="1:17" x14ac:dyDescent="0.25">
      <c r="A354" s="8">
        <v>46129</v>
      </c>
      <c r="B354" s="2" t="s">
        <v>67</v>
      </c>
      <c r="C354" s="2" t="str">
        <f t="shared" si="10"/>
        <v>Slippers</v>
      </c>
      <c r="D354" s="2" t="s">
        <v>56</v>
      </c>
      <c r="E354" s="2" t="str">
        <f t="shared" si="11"/>
        <v>Utility</v>
      </c>
      <c r="F354" s="2" t="s">
        <v>19</v>
      </c>
      <c r="G354" s="2" t="s">
        <v>57</v>
      </c>
      <c r="H354" s="2" t="str">
        <f>PROPER(Shoe_Sales[[#This Row],[Brand]])</f>
        <v>Timberland</v>
      </c>
      <c r="I354" s="2" t="s">
        <v>26</v>
      </c>
      <c r="J354" s="3">
        <v>6</v>
      </c>
      <c r="K354" s="2" t="s">
        <v>79</v>
      </c>
      <c r="L354" s="12">
        <f>VLOOKUP(Shoe_Sales[[#This Row],[Product Cleaned]],Price!$A$2:$C$9,2,FALSE)</f>
        <v>119</v>
      </c>
      <c r="M354" s="12">
        <f>VLOOKUP(Shoe_Sales[[#This Row],[Product Cleaned]],Price!$A$2:$C$9,3,0)</f>
        <v>67</v>
      </c>
      <c r="N354" s="12">
        <f>(Shoe_Sales[[#This Row],[Quantity]]*Shoe_Sales[[#This Row],[Selling Price]])</f>
        <v>714</v>
      </c>
      <c r="O354" s="12">
        <f>(Shoe_Sales[[#This Row],[Quantity]]*Shoe_Sales[[#This Row],[Cost Price]])</f>
        <v>402</v>
      </c>
      <c r="P354" s="12">
        <f>(Shoe_Sales[[#This Row],[Revenue]]-Shoe_Sales[[#This Row],[Cost]])</f>
        <v>312</v>
      </c>
      <c r="Q354" s="15">
        <f>(Shoe_Sales[[#This Row],[Profit]]/Shoe_Sales[[#This Row],[Revenue]])</f>
        <v>0.43697478991596639</v>
      </c>
    </row>
    <row r="355" spans="1:17" x14ac:dyDescent="0.25">
      <c r="A355" s="9">
        <v>46242</v>
      </c>
      <c r="B355" s="4" t="s">
        <v>75</v>
      </c>
      <c r="C355" s="2" t="str">
        <f t="shared" si="10"/>
        <v>Brogues</v>
      </c>
      <c r="D355" s="4" t="s">
        <v>18</v>
      </c>
      <c r="E355" s="2" t="str">
        <f t="shared" si="11"/>
        <v>Open</v>
      </c>
      <c r="F355" s="4" t="s">
        <v>19</v>
      </c>
      <c r="G355" s="4" t="s">
        <v>25</v>
      </c>
      <c r="H355" s="4" t="str">
        <f>PROPER(Shoe_Sales[[#This Row],[Brand]])</f>
        <v>Zara</v>
      </c>
      <c r="I355" s="4" t="s">
        <v>16</v>
      </c>
      <c r="J355" s="5">
        <v>8</v>
      </c>
      <c r="K355" s="4" t="s">
        <v>79</v>
      </c>
      <c r="L355" s="12">
        <f>VLOOKUP(Shoe_Sales[[#This Row],[Product Cleaned]],Price!$A$2:$C$9,2,FALSE)</f>
        <v>112</v>
      </c>
      <c r="M355" s="12">
        <f>VLOOKUP(Shoe_Sales[[#This Row],[Product Cleaned]],Price!$A$2:$C$9,3,0)</f>
        <v>64</v>
      </c>
      <c r="N355" s="12">
        <f>(Shoe_Sales[[#This Row],[Quantity]]*Shoe_Sales[[#This Row],[Selling Price]])</f>
        <v>896</v>
      </c>
      <c r="O355" s="12">
        <f>(Shoe_Sales[[#This Row],[Quantity]]*Shoe_Sales[[#This Row],[Cost Price]])</f>
        <v>512</v>
      </c>
      <c r="P355" s="12">
        <f>(Shoe_Sales[[#This Row],[Revenue]]-Shoe_Sales[[#This Row],[Cost]])</f>
        <v>384</v>
      </c>
      <c r="Q355" s="15">
        <f>(Shoe_Sales[[#This Row],[Profit]]/Shoe_Sales[[#This Row],[Revenue]])</f>
        <v>0.42857142857142855</v>
      </c>
    </row>
    <row r="356" spans="1:17" x14ac:dyDescent="0.25">
      <c r="A356" s="8">
        <v>46034</v>
      </c>
      <c r="B356" s="2" t="s">
        <v>70</v>
      </c>
      <c r="C356" s="2" t="str">
        <f t="shared" si="10"/>
        <v>Loafers</v>
      </c>
      <c r="D356" s="2" t="s">
        <v>39</v>
      </c>
      <c r="E356" s="2" t="str">
        <f t="shared" si="11"/>
        <v>Formal</v>
      </c>
      <c r="F356" s="2" t="s">
        <v>24</v>
      </c>
      <c r="G356" s="2" t="s">
        <v>69</v>
      </c>
      <c r="H356" s="2" t="str">
        <f>PROPER(Shoe_Sales[[#This Row],[Brand]])</f>
        <v>Nike</v>
      </c>
      <c r="I356" s="2" t="s">
        <v>31</v>
      </c>
      <c r="J356" s="3">
        <v>13</v>
      </c>
      <c r="K356" s="2" t="s">
        <v>82</v>
      </c>
      <c r="L356" s="12">
        <f>VLOOKUP(Shoe_Sales[[#This Row],[Product Cleaned]],Price!$A$2:$C$9,2,FALSE)</f>
        <v>54</v>
      </c>
      <c r="M356" s="12">
        <f>VLOOKUP(Shoe_Sales[[#This Row],[Product Cleaned]],Price!$A$2:$C$9,3,0)</f>
        <v>28</v>
      </c>
      <c r="N356" s="12">
        <f>(Shoe_Sales[[#This Row],[Quantity]]*Shoe_Sales[[#This Row],[Selling Price]])</f>
        <v>702</v>
      </c>
      <c r="O356" s="12">
        <f>(Shoe_Sales[[#This Row],[Quantity]]*Shoe_Sales[[#This Row],[Cost Price]])</f>
        <v>364</v>
      </c>
      <c r="P356" s="12">
        <f>(Shoe_Sales[[#This Row],[Revenue]]-Shoe_Sales[[#This Row],[Cost]])</f>
        <v>338</v>
      </c>
      <c r="Q356" s="15">
        <f>(Shoe_Sales[[#This Row],[Profit]]/Shoe_Sales[[#This Row],[Revenue]])</f>
        <v>0.48148148148148145</v>
      </c>
    </row>
    <row r="357" spans="1:17" x14ac:dyDescent="0.25">
      <c r="A357" s="9">
        <v>46218</v>
      </c>
      <c r="B357" s="4" t="s">
        <v>63</v>
      </c>
      <c r="C357" s="2" t="str">
        <f t="shared" si="10"/>
        <v>Monk Straps</v>
      </c>
      <c r="D357" s="4" t="s">
        <v>33</v>
      </c>
      <c r="E357" s="2" t="str">
        <f t="shared" si="11"/>
        <v>Formal</v>
      </c>
      <c r="F357" s="4" t="s">
        <v>14</v>
      </c>
      <c r="G357" s="4" t="s">
        <v>53</v>
      </c>
      <c r="H357" s="4" t="str">
        <f>PROPER(Shoe_Sales[[#This Row],[Brand]])</f>
        <v>Zara</v>
      </c>
      <c r="I357" s="4" t="s">
        <v>50</v>
      </c>
      <c r="J357" s="5">
        <v>6</v>
      </c>
      <c r="K357" s="4" t="s">
        <v>79</v>
      </c>
      <c r="L357" s="12">
        <f>VLOOKUP(Shoe_Sales[[#This Row],[Product Cleaned]],Price!$A$2:$C$9,2,FALSE)</f>
        <v>89</v>
      </c>
      <c r="M357" s="12">
        <f>VLOOKUP(Shoe_Sales[[#This Row],[Product Cleaned]],Price!$A$2:$C$9,3,0)</f>
        <v>47</v>
      </c>
      <c r="N357" s="12">
        <f>(Shoe_Sales[[#This Row],[Quantity]]*Shoe_Sales[[#This Row],[Selling Price]])</f>
        <v>534</v>
      </c>
      <c r="O357" s="12">
        <f>(Shoe_Sales[[#This Row],[Quantity]]*Shoe_Sales[[#This Row],[Cost Price]])</f>
        <v>282</v>
      </c>
      <c r="P357" s="12">
        <f>(Shoe_Sales[[#This Row],[Revenue]]-Shoe_Sales[[#This Row],[Cost]])</f>
        <v>252</v>
      </c>
      <c r="Q357" s="15">
        <f>(Shoe_Sales[[#This Row],[Profit]]/Shoe_Sales[[#This Row],[Revenue]])</f>
        <v>0.47191011235955055</v>
      </c>
    </row>
    <row r="358" spans="1:17" x14ac:dyDescent="0.25">
      <c r="A358" s="8">
        <v>46126</v>
      </c>
      <c r="B358" s="2" t="s">
        <v>74</v>
      </c>
      <c r="C358" s="2" t="str">
        <f t="shared" si="10"/>
        <v>Oxford</v>
      </c>
      <c r="D358" s="2" t="s">
        <v>33</v>
      </c>
      <c r="E358" s="2" t="str">
        <f t="shared" si="11"/>
        <v>Formal</v>
      </c>
      <c r="F358" s="2" t="s">
        <v>14</v>
      </c>
      <c r="G358" s="2" t="s">
        <v>49</v>
      </c>
      <c r="H358" s="2" t="str">
        <f>PROPER(Shoe_Sales[[#This Row],[Brand]])</f>
        <v>Nike</v>
      </c>
      <c r="I358" s="2" t="s">
        <v>58</v>
      </c>
      <c r="J358" s="3">
        <v>5</v>
      </c>
      <c r="K358" s="2" t="s">
        <v>82</v>
      </c>
      <c r="L358" s="12">
        <f>VLOOKUP(Shoe_Sales[[#This Row],[Product Cleaned]],Price!$A$2:$C$9,2,FALSE)</f>
        <v>105</v>
      </c>
      <c r="M358" s="12">
        <f>VLOOKUP(Shoe_Sales[[#This Row],[Product Cleaned]],Price!$A$2:$C$9,3,0)</f>
        <v>58</v>
      </c>
      <c r="N358" s="12">
        <f>(Shoe_Sales[[#This Row],[Quantity]]*Shoe_Sales[[#This Row],[Selling Price]])</f>
        <v>525</v>
      </c>
      <c r="O358" s="12">
        <f>(Shoe_Sales[[#This Row],[Quantity]]*Shoe_Sales[[#This Row],[Cost Price]])</f>
        <v>290</v>
      </c>
      <c r="P358" s="12">
        <f>(Shoe_Sales[[#This Row],[Revenue]]-Shoe_Sales[[#This Row],[Cost]])</f>
        <v>235</v>
      </c>
      <c r="Q358" s="15">
        <f>(Shoe_Sales[[#This Row],[Profit]]/Shoe_Sales[[#This Row],[Revenue]])</f>
        <v>0.44761904761904764</v>
      </c>
    </row>
    <row r="359" spans="1:17" x14ac:dyDescent="0.25">
      <c r="A359" s="9">
        <v>46204</v>
      </c>
      <c r="B359" s="4" t="s">
        <v>42</v>
      </c>
      <c r="C359" s="2" t="str">
        <f t="shared" si="10"/>
        <v>Derby</v>
      </c>
      <c r="D359" s="4" t="s">
        <v>48</v>
      </c>
      <c r="E359" s="2" t="str">
        <f t="shared" si="11"/>
        <v>Open</v>
      </c>
      <c r="F359" s="4" t="s">
        <v>9</v>
      </c>
      <c r="G359" s="4" t="s">
        <v>20</v>
      </c>
      <c r="H359" s="4" t="str">
        <f>PROPER(Shoe_Sales[[#This Row],[Brand]])</f>
        <v>Nike</v>
      </c>
      <c r="I359" s="4" t="s">
        <v>61</v>
      </c>
      <c r="J359" s="5">
        <v>4</v>
      </c>
      <c r="K359" s="4" t="s">
        <v>82</v>
      </c>
      <c r="L359" s="12">
        <f>VLOOKUP(Shoe_Sales[[#This Row],[Product Cleaned]],Price!$A$2:$C$9,2,FALSE)</f>
        <v>32</v>
      </c>
      <c r="M359" s="12">
        <f>VLOOKUP(Shoe_Sales[[#This Row],[Product Cleaned]],Price!$A$2:$C$9,3,0)</f>
        <v>14</v>
      </c>
      <c r="N359" s="12">
        <f>(Shoe_Sales[[#This Row],[Quantity]]*Shoe_Sales[[#This Row],[Selling Price]])</f>
        <v>128</v>
      </c>
      <c r="O359" s="12">
        <f>(Shoe_Sales[[#This Row],[Quantity]]*Shoe_Sales[[#This Row],[Cost Price]])</f>
        <v>56</v>
      </c>
      <c r="P359" s="12">
        <f>(Shoe_Sales[[#This Row],[Revenue]]-Shoe_Sales[[#This Row],[Cost]])</f>
        <v>72</v>
      </c>
      <c r="Q359" s="15">
        <f>(Shoe_Sales[[#This Row],[Profit]]/Shoe_Sales[[#This Row],[Revenue]])</f>
        <v>0.5625</v>
      </c>
    </row>
    <row r="360" spans="1:17" x14ac:dyDescent="0.25">
      <c r="A360" s="8">
        <v>46159</v>
      </c>
      <c r="B360" s="2" t="s">
        <v>63</v>
      </c>
      <c r="C360" s="2" t="str">
        <f t="shared" si="10"/>
        <v>Monk Straps</v>
      </c>
      <c r="D360" s="2" t="s">
        <v>56</v>
      </c>
      <c r="E360" s="2" t="str">
        <f t="shared" si="11"/>
        <v>Utility</v>
      </c>
      <c r="F360" s="2" t="s">
        <v>29</v>
      </c>
      <c r="G360" s="2" t="s">
        <v>34</v>
      </c>
      <c r="H360" s="2" t="str">
        <f>PROPER(Shoe_Sales[[#This Row],[Brand]])</f>
        <v>Clarks</v>
      </c>
      <c r="I360" s="2" t="s">
        <v>50</v>
      </c>
      <c r="J360" s="3">
        <v>3</v>
      </c>
      <c r="K360" s="2" t="s">
        <v>79</v>
      </c>
      <c r="L360" s="12">
        <f>VLOOKUP(Shoe_Sales[[#This Row],[Product Cleaned]],Price!$A$2:$C$9,2,FALSE)</f>
        <v>89</v>
      </c>
      <c r="M360" s="12">
        <f>VLOOKUP(Shoe_Sales[[#This Row],[Product Cleaned]],Price!$A$2:$C$9,3,0)</f>
        <v>47</v>
      </c>
      <c r="N360" s="12">
        <f>(Shoe_Sales[[#This Row],[Quantity]]*Shoe_Sales[[#This Row],[Selling Price]])</f>
        <v>267</v>
      </c>
      <c r="O360" s="12">
        <f>(Shoe_Sales[[#This Row],[Quantity]]*Shoe_Sales[[#This Row],[Cost Price]])</f>
        <v>141</v>
      </c>
      <c r="P360" s="12">
        <f>(Shoe_Sales[[#This Row],[Revenue]]-Shoe_Sales[[#This Row],[Cost]])</f>
        <v>126</v>
      </c>
      <c r="Q360" s="15">
        <f>(Shoe_Sales[[#This Row],[Profit]]/Shoe_Sales[[#This Row],[Revenue]])</f>
        <v>0.47191011235955055</v>
      </c>
    </row>
    <row r="361" spans="1:17" x14ac:dyDescent="0.25">
      <c r="A361" s="9">
        <v>46130</v>
      </c>
      <c r="B361" s="4" t="s">
        <v>67</v>
      </c>
      <c r="C361" s="2" t="str">
        <f t="shared" si="10"/>
        <v>Slippers</v>
      </c>
      <c r="D361" s="4" t="s">
        <v>39</v>
      </c>
      <c r="E361" s="2" t="str">
        <f t="shared" si="11"/>
        <v>Formal</v>
      </c>
      <c r="F361" s="4" t="s">
        <v>24</v>
      </c>
      <c r="G361" s="4" t="s">
        <v>34</v>
      </c>
      <c r="H361" s="4" t="str">
        <f>PROPER(Shoe_Sales[[#This Row],[Brand]])</f>
        <v>Clarks</v>
      </c>
      <c r="I361" s="4" t="s">
        <v>31</v>
      </c>
      <c r="J361" s="5">
        <v>5</v>
      </c>
      <c r="K361" s="4" t="s">
        <v>80</v>
      </c>
      <c r="L361" s="12">
        <f>VLOOKUP(Shoe_Sales[[#This Row],[Product Cleaned]],Price!$A$2:$C$9,2,FALSE)</f>
        <v>119</v>
      </c>
      <c r="M361" s="12">
        <f>VLOOKUP(Shoe_Sales[[#This Row],[Product Cleaned]],Price!$A$2:$C$9,3,0)</f>
        <v>67</v>
      </c>
      <c r="N361" s="12">
        <f>(Shoe_Sales[[#This Row],[Quantity]]*Shoe_Sales[[#This Row],[Selling Price]])</f>
        <v>595</v>
      </c>
      <c r="O361" s="12">
        <f>(Shoe_Sales[[#This Row],[Quantity]]*Shoe_Sales[[#This Row],[Cost Price]])</f>
        <v>335</v>
      </c>
      <c r="P361" s="12">
        <f>(Shoe_Sales[[#This Row],[Revenue]]-Shoe_Sales[[#This Row],[Cost]])</f>
        <v>260</v>
      </c>
      <c r="Q361" s="15">
        <f>(Shoe_Sales[[#This Row],[Profit]]/Shoe_Sales[[#This Row],[Revenue]])</f>
        <v>0.43697478991596639</v>
      </c>
    </row>
    <row r="362" spans="1:17" x14ac:dyDescent="0.25">
      <c r="A362" s="8">
        <v>46224</v>
      </c>
      <c r="B362" s="2" t="s">
        <v>64</v>
      </c>
      <c r="C362" s="2" t="str">
        <f t="shared" si="10"/>
        <v>Derby</v>
      </c>
      <c r="D362" s="2" t="s">
        <v>33</v>
      </c>
      <c r="E362" s="2" t="str">
        <f t="shared" si="11"/>
        <v>Formal</v>
      </c>
      <c r="F362" s="2" t="s">
        <v>29</v>
      </c>
      <c r="G362" s="2" t="s">
        <v>40</v>
      </c>
      <c r="H362" s="2" t="str">
        <f>PROPER(Shoe_Sales[[#This Row],[Brand]])</f>
        <v>Zara</v>
      </c>
      <c r="I362" s="2" t="s">
        <v>21</v>
      </c>
      <c r="J362" s="3">
        <v>4</v>
      </c>
      <c r="K362" s="2" t="s">
        <v>80</v>
      </c>
      <c r="L362" s="12">
        <f>VLOOKUP(Shoe_Sales[[#This Row],[Product Cleaned]],Price!$A$2:$C$9,2,FALSE)</f>
        <v>32</v>
      </c>
      <c r="M362" s="12">
        <f>VLOOKUP(Shoe_Sales[[#This Row],[Product Cleaned]],Price!$A$2:$C$9,3,0)</f>
        <v>14</v>
      </c>
      <c r="N362" s="12">
        <f>(Shoe_Sales[[#This Row],[Quantity]]*Shoe_Sales[[#This Row],[Selling Price]])</f>
        <v>128</v>
      </c>
      <c r="O362" s="12">
        <f>(Shoe_Sales[[#This Row],[Quantity]]*Shoe_Sales[[#This Row],[Cost Price]])</f>
        <v>56</v>
      </c>
      <c r="P362" s="12">
        <f>(Shoe_Sales[[#This Row],[Revenue]]-Shoe_Sales[[#This Row],[Cost]])</f>
        <v>72</v>
      </c>
      <c r="Q362" s="15">
        <f>(Shoe_Sales[[#This Row],[Profit]]/Shoe_Sales[[#This Row],[Revenue]])</f>
        <v>0.5625</v>
      </c>
    </row>
    <row r="363" spans="1:17" x14ac:dyDescent="0.25">
      <c r="A363" s="9">
        <v>46242</v>
      </c>
      <c r="B363" s="4" t="s">
        <v>64</v>
      </c>
      <c r="C363" s="2" t="str">
        <f t="shared" si="10"/>
        <v>Derby</v>
      </c>
      <c r="D363" s="4" t="s">
        <v>23</v>
      </c>
      <c r="E363" s="2" t="str">
        <f t="shared" si="11"/>
        <v>Casual</v>
      </c>
      <c r="F363" s="4" t="s">
        <v>14</v>
      </c>
      <c r="G363" s="4" t="s">
        <v>34</v>
      </c>
      <c r="H363" s="4" t="str">
        <f>PROPER(Shoe_Sales[[#This Row],[Brand]])</f>
        <v>Clarks</v>
      </c>
      <c r="I363" s="4" t="s">
        <v>31</v>
      </c>
      <c r="J363" s="5">
        <v>7</v>
      </c>
      <c r="K363" s="4" t="s">
        <v>80</v>
      </c>
      <c r="L363" s="12">
        <f>VLOOKUP(Shoe_Sales[[#This Row],[Product Cleaned]],Price!$A$2:$C$9,2,FALSE)</f>
        <v>32</v>
      </c>
      <c r="M363" s="12">
        <f>VLOOKUP(Shoe_Sales[[#This Row],[Product Cleaned]],Price!$A$2:$C$9,3,0)</f>
        <v>14</v>
      </c>
      <c r="N363" s="12">
        <f>(Shoe_Sales[[#This Row],[Quantity]]*Shoe_Sales[[#This Row],[Selling Price]])</f>
        <v>224</v>
      </c>
      <c r="O363" s="12">
        <f>(Shoe_Sales[[#This Row],[Quantity]]*Shoe_Sales[[#This Row],[Cost Price]])</f>
        <v>98</v>
      </c>
      <c r="P363" s="12">
        <f>(Shoe_Sales[[#This Row],[Revenue]]-Shoe_Sales[[#This Row],[Cost]])</f>
        <v>126</v>
      </c>
      <c r="Q363" s="15">
        <f>(Shoe_Sales[[#This Row],[Profit]]/Shoe_Sales[[#This Row],[Revenue]])</f>
        <v>0.5625</v>
      </c>
    </row>
    <row r="364" spans="1:17" x14ac:dyDescent="0.25">
      <c r="A364" s="8">
        <v>46114</v>
      </c>
      <c r="B364" s="2" t="s">
        <v>70</v>
      </c>
      <c r="C364" s="2" t="str">
        <f t="shared" si="10"/>
        <v>Loafers</v>
      </c>
      <c r="D364" s="2" t="s">
        <v>56</v>
      </c>
      <c r="E364" s="2" t="str">
        <f t="shared" si="11"/>
        <v>Utility</v>
      </c>
      <c r="F364" s="2" t="s">
        <v>29</v>
      </c>
      <c r="G364" s="2" t="s">
        <v>34</v>
      </c>
      <c r="H364" s="2" t="str">
        <f>PROPER(Shoe_Sales[[#This Row],[Brand]])</f>
        <v>Clarks</v>
      </c>
      <c r="I364" s="2" t="s">
        <v>31</v>
      </c>
      <c r="J364" s="3">
        <v>6</v>
      </c>
      <c r="K364" s="2" t="s">
        <v>80</v>
      </c>
      <c r="L364" s="12">
        <f>VLOOKUP(Shoe_Sales[[#This Row],[Product Cleaned]],Price!$A$2:$C$9,2,FALSE)</f>
        <v>54</v>
      </c>
      <c r="M364" s="12">
        <f>VLOOKUP(Shoe_Sales[[#This Row],[Product Cleaned]],Price!$A$2:$C$9,3,0)</f>
        <v>28</v>
      </c>
      <c r="N364" s="12">
        <f>(Shoe_Sales[[#This Row],[Quantity]]*Shoe_Sales[[#This Row],[Selling Price]])</f>
        <v>324</v>
      </c>
      <c r="O364" s="12">
        <f>(Shoe_Sales[[#This Row],[Quantity]]*Shoe_Sales[[#This Row],[Cost Price]])</f>
        <v>168</v>
      </c>
      <c r="P364" s="12">
        <f>(Shoe_Sales[[#This Row],[Revenue]]-Shoe_Sales[[#This Row],[Cost]])</f>
        <v>156</v>
      </c>
      <c r="Q364" s="15">
        <f>(Shoe_Sales[[#This Row],[Profit]]/Shoe_Sales[[#This Row],[Revenue]])</f>
        <v>0.48148148148148145</v>
      </c>
    </row>
    <row r="365" spans="1:17" x14ac:dyDescent="0.25">
      <c r="A365" s="9">
        <v>46231</v>
      </c>
      <c r="B365" s="4" t="s">
        <v>42</v>
      </c>
      <c r="C365" s="2" t="str">
        <f t="shared" si="10"/>
        <v>Derby</v>
      </c>
      <c r="D365" s="4" t="s">
        <v>8</v>
      </c>
      <c r="E365" s="2" t="str">
        <f t="shared" si="11"/>
        <v>Formal</v>
      </c>
      <c r="F365" s="4" t="s">
        <v>14</v>
      </c>
      <c r="G365" s="4" t="s">
        <v>40</v>
      </c>
      <c r="H365" s="4" t="str">
        <f>PROPER(Shoe_Sales[[#This Row],[Brand]])</f>
        <v>Zara</v>
      </c>
      <c r="I365" s="4" t="s">
        <v>46</v>
      </c>
      <c r="J365" s="5">
        <v>7</v>
      </c>
      <c r="K365" s="4" t="s">
        <v>81</v>
      </c>
      <c r="L365" s="12">
        <f>VLOOKUP(Shoe_Sales[[#This Row],[Product Cleaned]],Price!$A$2:$C$9,2,FALSE)</f>
        <v>32</v>
      </c>
      <c r="M365" s="12">
        <f>VLOOKUP(Shoe_Sales[[#This Row],[Product Cleaned]],Price!$A$2:$C$9,3,0)</f>
        <v>14</v>
      </c>
      <c r="N365" s="12">
        <f>(Shoe_Sales[[#This Row],[Quantity]]*Shoe_Sales[[#This Row],[Selling Price]])</f>
        <v>224</v>
      </c>
      <c r="O365" s="12">
        <f>(Shoe_Sales[[#This Row],[Quantity]]*Shoe_Sales[[#This Row],[Cost Price]])</f>
        <v>98</v>
      </c>
      <c r="P365" s="12">
        <f>(Shoe_Sales[[#This Row],[Revenue]]-Shoe_Sales[[#This Row],[Cost]])</f>
        <v>126</v>
      </c>
      <c r="Q365" s="15">
        <f>(Shoe_Sales[[#This Row],[Profit]]/Shoe_Sales[[#This Row],[Revenue]])</f>
        <v>0.5625</v>
      </c>
    </row>
    <row r="366" spans="1:17" x14ac:dyDescent="0.25">
      <c r="A366" s="8">
        <v>46087</v>
      </c>
      <c r="B366" s="2" t="s">
        <v>51</v>
      </c>
      <c r="C366" s="2" t="str">
        <f t="shared" si="10"/>
        <v>Loafers</v>
      </c>
      <c r="D366" s="2" t="s">
        <v>39</v>
      </c>
      <c r="E366" s="2" t="str">
        <f t="shared" si="11"/>
        <v>Formal</v>
      </c>
      <c r="F366" s="2" t="s">
        <v>24</v>
      </c>
      <c r="G366" s="2" t="s">
        <v>45</v>
      </c>
      <c r="H366" s="2" t="str">
        <f>PROPER(Shoe_Sales[[#This Row],[Brand]])</f>
        <v>Steve Madden</v>
      </c>
      <c r="I366" s="2" t="s">
        <v>37</v>
      </c>
      <c r="J366" s="3">
        <v>12</v>
      </c>
      <c r="K366" s="2" t="s">
        <v>79</v>
      </c>
      <c r="L366" s="12">
        <f>VLOOKUP(Shoe_Sales[[#This Row],[Product Cleaned]],Price!$A$2:$C$9,2,FALSE)</f>
        <v>54</v>
      </c>
      <c r="M366" s="12">
        <f>VLOOKUP(Shoe_Sales[[#This Row],[Product Cleaned]],Price!$A$2:$C$9,3,0)</f>
        <v>28</v>
      </c>
      <c r="N366" s="12">
        <f>(Shoe_Sales[[#This Row],[Quantity]]*Shoe_Sales[[#This Row],[Selling Price]])</f>
        <v>648</v>
      </c>
      <c r="O366" s="12">
        <f>(Shoe_Sales[[#This Row],[Quantity]]*Shoe_Sales[[#This Row],[Cost Price]])</f>
        <v>336</v>
      </c>
      <c r="P366" s="12">
        <f>(Shoe_Sales[[#This Row],[Revenue]]-Shoe_Sales[[#This Row],[Cost]])</f>
        <v>312</v>
      </c>
      <c r="Q366" s="15">
        <f>(Shoe_Sales[[#This Row],[Profit]]/Shoe_Sales[[#This Row],[Revenue]])</f>
        <v>0.48148148148148145</v>
      </c>
    </row>
    <row r="367" spans="1:17" x14ac:dyDescent="0.25">
      <c r="A367" s="9">
        <v>46228</v>
      </c>
      <c r="B367" s="4" t="s">
        <v>47</v>
      </c>
      <c r="C367" s="2" t="str">
        <f t="shared" si="10"/>
        <v>Slippers</v>
      </c>
      <c r="D367" s="4" t="s">
        <v>13</v>
      </c>
      <c r="E367" s="2" t="str">
        <f t="shared" si="11"/>
        <v>Casual</v>
      </c>
      <c r="F367" s="4" t="s">
        <v>29</v>
      </c>
      <c r="G367" s="4" t="s">
        <v>25</v>
      </c>
      <c r="H367" s="4" t="str">
        <f>PROPER(Shoe_Sales[[#This Row],[Brand]])</f>
        <v>Zara</v>
      </c>
      <c r="I367" s="4" t="s">
        <v>37</v>
      </c>
      <c r="J367" s="5">
        <v>10</v>
      </c>
      <c r="K367" s="4" t="s">
        <v>82</v>
      </c>
      <c r="L367" s="12">
        <f>VLOOKUP(Shoe_Sales[[#This Row],[Product Cleaned]],Price!$A$2:$C$9,2,FALSE)</f>
        <v>119</v>
      </c>
      <c r="M367" s="12">
        <f>VLOOKUP(Shoe_Sales[[#This Row],[Product Cleaned]],Price!$A$2:$C$9,3,0)</f>
        <v>67</v>
      </c>
      <c r="N367" s="12">
        <f>(Shoe_Sales[[#This Row],[Quantity]]*Shoe_Sales[[#This Row],[Selling Price]])</f>
        <v>1190</v>
      </c>
      <c r="O367" s="12">
        <f>(Shoe_Sales[[#This Row],[Quantity]]*Shoe_Sales[[#This Row],[Cost Price]])</f>
        <v>670</v>
      </c>
      <c r="P367" s="12">
        <f>(Shoe_Sales[[#This Row],[Revenue]]-Shoe_Sales[[#This Row],[Cost]])</f>
        <v>520</v>
      </c>
      <c r="Q367" s="15">
        <f>(Shoe_Sales[[#This Row],[Profit]]/Shoe_Sales[[#This Row],[Revenue]])</f>
        <v>0.43697478991596639</v>
      </c>
    </row>
    <row r="368" spans="1:17" x14ac:dyDescent="0.25">
      <c r="A368" s="8">
        <v>46223</v>
      </c>
      <c r="B368" s="2" t="s">
        <v>51</v>
      </c>
      <c r="C368" s="2" t="str">
        <f t="shared" si="10"/>
        <v>Loafers</v>
      </c>
      <c r="D368" s="2" t="s">
        <v>33</v>
      </c>
      <c r="E368" s="2" t="str">
        <f t="shared" si="11"/>
        <v>Formal</v>
      </c>
      <c r="F368" s="2" t="s">
        <v>14</v>
      </c>
      <c r="G368" s="2" t="s">
        <v>10</v>
      </c>
      <c r="H368" s="2" t="str">
        <f>PROPER(Shoe_Sales[[#This Row],[Brand]])</f>
        <v>Clarks</v>
      </c>
      <c r="I368" s="2" t="s">
        <v>26</v>
      </c>
      <c r="J368" s="3">
        <v>6</v>
      </c>
      <c r="K368" s="2" t="s">
        <v>80</v>
      </c>
      <c r="L368" s="12">
        <f>VLOOKUP(Shoe_Sales[[#This Row],[Product Cleaned]],Price!$A$2:$C$9,2,FALSE)</f>
        <v>54</v>
      </c>
      <c r="M368" s="12">
        <f>VLOOKUP(Shoe_Sales[[#This Row],[Product Cleaned]],Price!$A$2:$C$9,3,0)</f>
        <v>28</v>
      </c>
      <c r="N368" s="12">
        <f>(Shoe_Sales[[#This Row],[Quantity]]*Shoe_Sales[[#This Row],[Selling Price]])</f>
        <v>324</v>
      </c>
      <c r="O368" s="12">
        <f>(Shoe_Sales[[#This Row],[Quantity]]*Shoe_Sales[[#This Row],[Cost Price]])</f>
        <v>168</v>
      </c>
      <c r="P368" s="12">
        <f>(Shoe_Sales[[#This Row],[Revenue]]-Shoe_Sales[[#This Row],[Cost]])</f>
        <v>156</v>
      </c>
      <c r="Q368" s="15">
        <f>(Shoe_Sales[[#This Row],[Profit]]/Shoe_Sales[[#This Row],[Revenue]])</f>
        <v>0.48148148148148145</v>
      </c>
    </row>
    <row r="369" spans="1:17" x14ac:dyDescent="0.25">
      <c r="A369" s="9">
        <v>46106</v>
      </c>
      <c r="B369" s="4" t="s">
        <v>7</v>
      </c>
      <c r="C369" s="2" t="str">
        <f t="shared" si="10"/>
        <v>Derby</v>
      </c>
      <c r="D369" s="4" t="s">
        <v>33</v>
      </c>
      <c r="E369" s="2" t="str">
        <f t="shared" si="11"/>
        <v>Formal</v>
      </c>
      <c r="F369" s="4" t="s">
        <v>24</v>
      </c>
      <c r="G369" s="4" t="s">
        <v>30</v>
      </c>
      <c r="H369" s="4" t="str">
        <f>PROPER(Shoe_Sales[[#This Row],[Brand]])</f>
        <v>Timberland</v>
      </c>
      <c r="I369" s="4" t="s">
        <v>26</v>
      </c>
      <c r="J369" s="5">
        <v>15</v>
      </c>
      <c r="K369" s="4" t="s">
        <v>81</v>
      </c>
      <c r="L369" s="12">
        <f>VLOOKUP(Shoe_Sales[[#This Row],[Product Cleaned]],Price!$A$2:$C$9,2,FALSE)</f>
        <v>32</v>
      </c>
      <c r="M369" s="12">
        <f>VLOOKUP(Shoe_Sales[[#This Row],[Product Cleaned]],Price!$A$2:$C$9,3,0)</f>
        <v>14</v>
      </c>
      <c r="N369" s="12">
        <f>(Shoe_Sales[[#This Row],[Quantity]]*Shoe_Sales[[#This Row],[Selling Price]])</f>
        <v>480</v>
      </c>
      <c r="O369" s="12">
        <f>(Shoe_Sales[[#This Row],[Quantity]]*Shoe_Sales[[#This Row],[Cost Price]])</f>
        <v>210</v>
      </c>
      <c r="P369" s="12">
        <f>(Shoe_Sales[[#This Row],[Revenue]]-Shoe_Sales[[#This Row],[Cost]])</f>
        <v>270</v>
      </c>
      <c r="Q369" s="15">
        <f>(Shoe_Sales[[#This Row],[Profit]]/Shoe_Sales[[#This Row],[Revenue]])</f>
        <v>0.5625</v>
      </c>
    </row>
    <row r="370" spans="1:17" x14ac:dyDescent="0.25">
      <c r="A370" s="8">
        <v>46050</v>
      </c>
      <c r="B370" s="2" t="s">
        <v>12</v>
      </c>
      <c r="C370" s="2" t="str">
        <f t="shared" si="10"/>
        <v>Canvas</v>
      </c>
      <c r="D370" s="2" t="s">
        <v>39</v>
      </c>
      <c r="E370" s="2" t="str">
        <f t="shared" si="11"/>
        <v>Formal</v>
      </c>
      <c r="F370" s="2" t="s">
        <v>19</v>
      </c>
      <c r="G370" s="2" t="s">
        <v>45</v>
      </c>
      <c r="H370" s="2" t="str">
        <f>PROPER(Shoe_Sales[[#This Row],[Brand]])</f>
        <v>Steve Madden</v>
      </c>
      <c r="I370" s="2" t="s">
        <v>61</v>
      </c>
      <c r="J370" s="3">
        <v>3</v>
      </c>
      <c r="K370" s="2" t="s">
        <v>82</v>
      </c>
      <c r="L370" s="12">
        <f>VLOOKUP(Shoe_Sales[[#This Row],[Product Cleaned]],Price!$A$2:$C$9,2,FALSE)</f>
        <v>128</v>
      </c>
      <c r="M370" s="12">
        <f>VLOOKUP(Shoe_Sales[[#This Row],[Product Cleaned]],Price!$A$2:$C$9,3,0)</f>
        <v>72</v>
      </c>
      <c r="N370" s="12">
        <f>(Shoe_Sales[[#This Row],[Quantity]]*Shoe_Sales[[#This Row],[Selling Price]])</f>
        <v>384</v>
      </c>
      <c r="O370" s="12">
        <f>(Shoe_Sales[[#This Row],[Quantity]]*Shoe_Sales[[#This Row],[Cost Price]])</f>
        <v>216</v>
      </c>
      <c r="P370" s="12">
        <f>(Shoe_Sales[[#This Row],[Revenue]]-Shoe_Sales[[#This Row],[Cost]])</f>
        <v>168</v>
      </c>
      <c r="Q370" s="15">
        <f>(Shoe_Sales[[#This Row],[Profit]]/Shoe_Sales[[#This Row],[Revenue]])</f>
        <v>0.4375</v>
      </c>
    </row>
    <row r="371" spans="1:17" x14ac:dyDescent="0.25">
      <c r="A371" s="9">
        <v>46117</v>
      </c>
      <c r="B371" s="4" t="s">
        <v>67</v>
      </c>
      <c r="C371" s="2" t="str">
        <f t="shared" si="10"/>
        <v>Slippers</v>
      </c>
      <c r="D371" s="4" t="s">
        <v>13</v>
      </c>
      <c r="E371" s="2" t="str">
        <f t="shared" si="11"/>
        <v>Casual</v>
      </c>
      <c r="F371" s="4" t="s">
        <v>9</v>
      </c>
      <c r="G371" s="4" t="s">
        <v>57</v>
      </c>
      <c r="H371" s="4" t="str">
        <f>PROPER(Shoe_Sales[[#This Row],[Brand]])</f>
        <v>Timberland</v>
      </c>
      <c r="I371" s="4" t="s">
        <v>54</v>
      </c>
      <c r="J371" s="5">
        <v>1</v>
      </c>
      <c r="K371" s="4" t="s">
        <v>80</v>
      </c>
      <c r="L371" s="12">
        <f>VLOOKUP(Shoe_Sales[[#This Row],[Product Cleaned]],Price!$A$2:$C$9,2,FALSE)</f>
        <v>119</v>
      </c>
      <c r="M371" s="12">
        <f>VLOOKUP(Shoe_Sales[[#This Row],[Product Cleaned]],Price!$A$2:$C$9,3,0)</f>
        <v>67</v>
      </c>
      <c r="N371" s="12">
        <f>(Shoe_Sales[[#This Row],[Quantity]]*Shoe_Sales[[#This Row],[Selling Price]])</f>
        <v>119</v>
      </c>
      <c r="O371" s="12">
        <f>(Shoe_Sales[[#This Row],[Quantity]]*Shoe_Sales[[#This Row],[Cost Price]])</f>
        <v>67</v>
      </c>
      <c r="P371" s="12">
        <f>(Shoe_Sales[[#This Row],[Revenue]]-Shoe_Sales[[#This Row],[Cost]])</f>
        <v>52</v>
      </c>
      <c r="Q371" s="15">
        <f>(Shoe_Sales[[#This Row],[Profit]]/Shoe_Sales[[#This Row],[Revenue]])</f>
        <v>0.43697478991596639</v>
      </c>
    </row>
    <row r="372" spans="1:17" x14ac:dyDescent="0.25">
      <c r="A372" s="8">
        <v>46246</v>
      </c>
      <c r="B372" s="2" t="s">
        <v>65</v>
      </c>
      <c r="C372" s="2" t="str">
        <f t="shared" si="10"/>
        <v>Canvas</v>
      </c>
      <c r="D372" s="2" t="s">
        <v>8</v>
      </c>
      <c r="E372" s="2" t="str">
        <f t="shared" si="11"/>
        <v>Formal</v>
      </c>
      <c r="F372" s="2" t="s">
        <v>9</v>
      </c>
      <c r="G372" s="2" t="s">
        <v>34</v>
      </c>
      <c r="H372" s="2" t="str">
        <f>PROPER(Shoe_Sales[[#This Row],[Brand]])</f>
        <v>Clarks</v>
      </c>
      <c r="I372" s="2" t="s">
        <v>37</v>
      </c>
      <c r="J372" s="3">
        <v>9</v>
      </c>
      <c r="K372" s="2" t="s">
        <v>79</v>
      </c>
      <c r="L372" s="12">
        <f>VLOOKUP(Shoe_Sales[[#This Row],[Product Cleaned]],Price!$A$2:$C$9,2,FALSE)</f>
        <v>128</v>
      </c>
      <c r="M372" s="12">
        <f>VLOOKUP(Shoe_Sales[[#This Row],[Product Cleaned]],Price!$A$2:$C$9,3,0)</f>
        <v>72</v>
      </c>
      <c r="N372" s="12">
        <f>(Shoe_Sales[[#This Row],[Quantity]]*Shoe_Sales[[#This Row],[Selling Price]])</f>
        <v>1152</v>
      </c>
      <c r="O372" s="12">
        <f>(Shoe_Sales[[#This Row],[Quantity]]*Shoe_Sales[[#This Row],[Cost Price]])</f>
        <v>648</v>
      </c>
      <c r="P372" s="12">
        <f>(Shoe_Sales[[#This Row],[Revenue]]-Shoe_Sales[[#This Row],[Cost]])</f>
        <v>504</v>
      </c>
      <c r="Q372" s="15">
        <f>(Shoe_Sales[[#This Row],[Profit]]/Shoe_Sales[[#This Row],[Revenue]])</f>
        <v>0.4375</v>
      </c>
    </row>
    <row r="373" spans="1:17" x14ac:dyDescent="0.25">
      <c r="A373" s="9">
        <v>46199</v>
      </c>
      <c r="B373" s="4" t="s">
        <v>32</v>
      </c>
      <c r="C373" s="2" t="str">
        <f t="shared" si="10"/>
        <v>Oxford</v>
      </c>
      <c r="D373" s="4" t="s">
        <v>39</v>
      </c>
      <c r="E373" s="2" t="str">
        <f t="shared" si="11"/>
        <v>Formal</v>
      </c>
      <c r="F373" s="4" t="s">
        <v>19</v>
      </c>
      <c r="G373" s="4" t="s">
        <v>53</v>
      </c>
      <c r="H373" s="4" t="str">
        <f>PROPER(Shoe_Sales[[#This Row],[Brand]])</f>
        <v>Zara</v>
      </c>
      <c r="I373" s="4" t="s">
        <v>58</v>
      </c>
      <c r="J373" s="5">
        <v>7</v>
      </c>
      <c r="K373" s="4" t="s">
        <v>80</v>
      </c>
      <c r="L373" s="12">
        <f>VLOOKUP(Shoe_Sales[[#This Row],[Product Cleaned]],Price!$A$2:$C$9,2,FALSE)</f>
        <v>105</v>
      </c>
      <c r="M373" s="12">
        <f>VLOOKUP(Shoe_Sales[[#This Row],[Product Cleaned]],Price!$A$2:$C$9,3,0)</f>
        <v>58</v>
      </c>
      <c r="N373" s="12">
        <f>(Shoe_Sales[[#This Row],[Quantity]]*Shoe_Sales[[#This Row],[Selling Price]])</f>
        <v>735</v>
      </c>
      <c r="O373" s="12">
        <f>(Shoe_Sales[[#This Row],[Quantity]]*Shoe_Sales[[#This Row],[Cost Price]])</f>
        <v>406</v>
      </c>
      <c r="P373" s="12">
        <f>(Shoe_Sales[[#This Row],[Revenue]]-Shoe_Sales[[#This Row],[Cost]])</f>
        <v>329</v>
      </c>
      <c r="Q373" s="15">
        <f>(Shoe_Sales[[#This Row],[Profit]]/Shoe_Sales[[#This Row],[Revenue]])</f>
        <v>0.44761904761904764</v>
      </c>
    </row>
    <row r="374" spans="1:17" x14ac:dyDescent="0.25">
      <c r="A374" s="8">
        <v>46170</v>
      </c>
      <c r="B374" s="2" t="s">
        <v>63</v>
      </c>
      <c r="C374" s="2" t="str">
        <f t="shared" si="10"/>
        <v>Monk Straps</v>
      </c>
      <c r="D374" s="2" t="s">
        <v>39</v>
      </c>
      <c r="E374" s="2" t="str">
        <f t="shared" si="11"/>
        <v>Formal</v>
      </c>
      <c r="F374" s="2" t="s">
        <v>14</v>
      </c>
      <c r="G374" s="2" t="s">
        <v>60</v>
      </c>
      <c r="H374" s="2" t="str">
        <f>PROPER(Shoe_Sales[[#This Row],[Brand]])</f>
        <v>Clarks</v>
      </c>
      <c r="I374" s="2" t="s">
        <v>41</v>
      </c>
      <c r="J374" s="3">
        <v>4</v>
      </c>
      <c r="K374" s="2" t="s">
        <v>81</v>
      </c>
      <c r="L374" s="12">
        <f>VLOOKUP(Shoe_Sales[[#This Row],[Product Cleaned]],Price!$A$2:$C$9,2,FALSE)</f>
        <v>89</v>
      </c>
      <c r="M374" s="12">
        <f>VLOOKUP(Shoe_Sales[[#This Row],[Product Cleaned]],Price!$A$2:$C$9,3,0)</f>
        <v>47</v>
      </c>
      <c r="N374" s="12">
        <f>(Shoe_Sales[[#This Row],[Quantity]]*Shoe_Sales[[#This Row],[Selling Price]])</f>
        <v>356</v>
      </c>
      <c r="O374" s="12">
        <f>(Shoe_Sales[[#This Row],[Quantity]]*Shoe_Sales[[#This Row],[Cost Price]])</f>
        <v>188</v>
      </c>
      <c r="P374" s="12">
        <f>(Shoe_Sales[[#This Row],[Revenue]]-Shoe_Sales[[#This Row],[Cost]])</f>
        <v>168</v>
      </c>
      <c r="Q374" s="15">
        <f>(Shoe_Sales[[#This Row],[Profit]]/Shoe_Sales[[#This Row],[Revenue]])</f>
        <v>0.47191011235955055</v>
      </c>
    </row>
    <row r="375" spans="1:17" x14ac:dyDescent="0.25">
      <c r="A375" s="9">
        <v>46062</v>
      </c>
      <c r="B375" s="4" t="s">
        <v>47</v>
      </c>
      <c r="C375" s="2" t="str">
        <f t="shared" si="10"/>
        <v>Slippers</v>
      </c>
      <c r="D375" s="4" t="s">
        <v>68</v>
      </c>
      <c r="E375" s="2" t="str">
        <f t="shared" si="11"/>
        <v>Open</v>
      </c>
      <c r="F375" s="4" t="s">
        <v>14</v>
      </c>
      <c r="G375" s="4" t="s">
        <v>45</v>
      </c>
      <c r="H375" s="4" t="str">
        <f>PROPER(Shoe_Sales[[#This Row],[Brand]])</f>
        <v>Steve Madden</v>
      </c>
      <c r="I375" s="4" t="s">
        <v>46</v>
      </c>
      <c r="J375" s="5">
        <v>7</v>
      </c>
      <c r="K375" s="4" t="s">
        <v>80</v>
      </c>
      <c r="L375" s="12">
        <f>VLOOKUP(Shoe_Sales[[#This Row],[Product Cleaned]],Price!$A$2:$C$9,2,FALSE)</f>
        <v>119</v>
      </c>
      <c r="M375" s="12">
        <f>VLOOKUP(Shoe_Sales[[#This Row],[Product Cleaned]],Price!$A$2:$C$9,3,0)</f>
        <v>67</v>
      </c>
      <c r="N375" s="12">
        <f>(Shoe_Sales[[#This Row],[Quantity]]*Shoe_Sales[[#This Row],[Selling Price]])</f>
        <v>833</v>
      </c>
      <c r="O375" s="12">
        <f>(Shoe_Sales[[#This Row],[Quantity]]*Shoe_Sales[[#This Row],[Cost Price]])</f>
        <v>469</v>
      </c>
      <c r="P375" s="12">
        <f>(Shoe_Sales[[#This Row],[Revenue]]-Shoe_Sales[[#This Row],[Cost]])</f>
        <v>364</v>
      </c>
      <c r="Q375" s="15">
        <f>(Shoe_Sales[[#This Row],[Profit]]/Shoe_Sales[[#This Row],[Revenue]])</f>
        <v>0.43697478991596639</v>
      </c>
    </row>
    <row r="376" spans="1:17" x14ac:dyDescent="0.25">
      <c r="A376" s="8">
        <v>46086</v>
      </c>
      <c r="B376" s="2" t="s">
        <v>27</v>
      </c>
      <c r="C376" s="2" t="str">
        <f t="shared" si="10"/>
        <v>Boots</v>
      </c>
      <c r="D376" s="2" t="s">
        <v>13</v>
      </c>
      <c r="E376" s="2" t="str">
        <f t="shared" si="11"/>
        <v>Casual</v>
      </c>
      <c r="F376" s="2" t="s">
        <v>29</v>
      </c>
      <c r="G376" s="2" t="s">
        <v>30</v>
      </c>
      <c r="H376" s="2" t="str">
        <f>PROPER(Shoe_Sales[[#This Row],[Brand]])</f>
        <v>Timberland</v>
      </c>
      <c r="I376" s="2" t="s">
        <v>35</v>
      </c>
      <c r="J376" s="3">
        <v>10</v>
      </c>
      <c r="K376" s="2" t="s">
        <v>82</v>
      </c>
      <c r="L376" s="12">
        <f>VLOOKUP(Shoe_Sales[[#This Row],[Product Cleaned]],Price!$A$2:$C$9,2,FALSE)</f>
        <v>76</v>
      </c>
      <c r="M376" s="12">
        <f>VLOOKUP(Shoe_Sales[[#This Row],[Product Cleaned]],Price!$A$2:$C$9,3,0)</f>
        <v>39</v>
      </c>
      <c r="N376" s="12">
        <f>(Shoe_Sales[[#This Row],[Quantity]]*Shoe_Sales[[#This Row],[Selling Price]])</f>
        <v>760</v>
      </c>
      <c r="O376" s="12">
        <f>(Shoe_Sales[[#This Row],[Quantity]]*Shoe_Sales[[#This Row],[Cost Price]])</f>
        <v>390</v>
      </c>
      <c r="P376" s="12">
        <f>(Shoe_Sales[[#This Row],[Revenue]]-Shoe_Sales[[#This Row],[Cost]])</f>
        <v>370</v>
      </c>
      <c r="Q376" s="15">
        <f>(Shoe_Sales[[#This Row],[Profit]]/Shoe_Sales[[#This Row],[Revenue]])</f>
        <v>0.48684210526315791</v>
      </c>
    </row>
    <row r="377" spans="1:17" x14ac:dyDescent="0.25">
      <c r="A377" s="9">
        <v>46078</v>
      </c>
      <c r="B377" s="4" t="s">
        <v>22</v>
      </c>
      <c r="C377" s="2" t="str">
        <f t="shared" si="10"/>
        <v>Loafers</v>
      </c>
      <c r="D377" s="4" t="s">
        <v>33</v>
      </c>
      <c r="E377" s="2" t="str">
        <f t="shared" si="11"/>
        <v>Formal</v>
      </c>
      <c r="F377" s="4" t="s">
        <v>14</v>
      </c>
      <c r="G377" s="4" t="s">
        <v>34</v>
      </c>
      <c r="H377" s="4" t="str">
        <f>PROPER(Shoe_Sales[[#This Row],[Brand]])</f>
        <v>Clarks</v>
      </c>
      <c r="I377" s="4" t="s">
        <v>31</v>
      </c>
      <c r="J377" s="5">
        <v>2</v>
      </c>
      <c r="K377" s="4" t="s">
        <v>82</v>
      </c>
      <c r="L377" s="12">
        <f>VLOOKUP(Shoe_Sales[[#This Row],[Product Cleaned]],Price!$A$2:$C$9,2,FALSE)</f>
        <v>54</v>
      </c>
      <c r="M377" s="12">
        <f>VLOOKUP(Shoe_Sales[[#This Row],[Product Cleaned]],Price!$A$2:$C$9,3,0)</f>
        <v>28</v>
      </c>
      <c r="N377" s="12">
        <f>(Shoe_Sales[[#This Row],[Quantity]]*Shoe_Sales[[#This Row],[Selling Price]])</f>
        <v>108</v>
      </c>
      <c r="O377" s="12">
        <f>(Shoe_Sales[[#This Row],[Quantity]]*Shoe_Sales[[#This Row],[Cost Price]])</f>
        <v>56</v>
      </c>
      <c r="P377" s="12">
        <f>(Shoe_Sales[[#This Row],[Revenue]]-Shoe_Sales[[#This Row],[Cost]])</f>
        <v>52</v>
      </c>
      <c r="Q377" s="15">
        <f>(Shoe_Sales[[#This Row],[Profit]]/Shoe_Sales[[#This Row],[Revenue]])</f>
        <v>0.48148148148148145</v>
      </c>
    </row>
    <row r="378" spans="1:17" x14ac:dyDescent="0.25">
      <c r="A378" s="8">
        <v>46183</v>
      </c>
      <c r="B378" s="2" t="s">
        <v>36</v>
      </c>
      <c r="C378" s="2" t="str">
        <f t="shared" si="10"/>
        <v>Brogues</v>
      </c>
      <c r="D378" s="2" t="s">
        <v>23</v>
      </c>
      <c r="E378" s="2" t="str">
        <f t="shared" si="11"/>
        <v>Casual</v>
      </c>
      <c r="F378" s="2" t="s">
        <v>24</v>
      </c>
      <c r="G378" s="2" t="s">
        <v>34</v>
      </c>
      <c r="H378" s="2" t="str">
        <f>PROPER(Shoe_Sales[[#This Row],[Brand]])</f>
        <v>Clarks</v>
      </c>
      <c r="I378" s="2" t="s">
        <v>26</v>
      </c>
      <c r="J378" s="3">
        <v>14</v>
      </c>
      <c r="K378" s="2" t="s">
        <v>80</v>
      </c>
      <c r="L378" s="12">
        <f>VLOOKUP(Shoe_Sales[[#This Row],[Product Cleaned]],Price!$A$2:$C$9,2,FALSE)</f>
        <v>112</v>
      </c>
      <c r="M378" s="12">
        <f>VLOOKUP(Shoe_Sales[[#This Row],[Product Cleaned]],Price!$A$2:$C$9,3,0)</f>
        <v>64</v>
      </c>
      <c r="N378" s="12">
        <f>(Shoe_Sales[[#This Row],[Quantity]]*Shoe_Sales[[#This Row],[Selling Price]])</f>
        <v>1568</v>
      </c>
      <c r="O378" s="12">
        <f>(Shoe_Sales[[#This Row],[Quantity]]*Shoe_Sales[[#This Row],[Cost Price]])</f>
        <v>896</v>
      </c>
      <c r="P378" s="12">
        <f>(Shoe_Sales[[#This Row],[Revenue]]-Shoe_Sales[[#This Row],[Cost]])</f>
        <v>672</v>
      </c>
      <c r="Q378" s="15">
        <f>(Shoe_Sales[[#This Row],[Profit]]/Shoe_Sales[[#This Row],[Revenue]])</f>
        <v>0.42857142857142855</v>
      </c>
    </row>
    <row r="379" spans="1:17" x14ac:dyDescent="0.25">
      <c r="A379" s="9">
        <v>46032</v>
      </c>
      <c r="B379" s="4" t="s">
        <v>44</v>
      </c>
      <c r="C379" s="2" t="str">
        <f t="shared" si="10"/>
        <v>Canvas</v>
      </c>
      <c r="D379" s="4" t="s">
        <v>13</v>
      </c>
      <c r="E379" s="2" t="str">
        <f t="shared" si="11"/>
        <v>Casual</v>
      </c>
      <c r="F379" s="4" t="s">
        <v>24</v>
      </c>
      <c r="G379" s="4" t="s">
        <v>60</v>
      </c>
      <c r="H379" s="4" t="str">
        <f>PROPER(Shoe_Sales[[#This Row],[Brand]])</f>
        <v>Clarks</v>
      </c>
      <c r="I379" s="4" t="s">
        <v>16</v>
      </c>
      <c r="J379" s="5">
        <v>6</v>
      </c>
      <c r="K379" s="4" t="s">
        <v>82</v>
      </c>
      <c r="L379" s="12">
        <f>VLOOKUP(Shoe_Sales[[#This Row],[Product Cleaned]],Price!$A$2:$C$9,2,FALSE)</f>
        <v>128</v>
      </c>
      <c r="M379" s="12">
        <f>VLOOKUP(Shoe_Sales[[#This Row],[Product Cleaned]],Price!$A$2:$C$9,3,0)</f>
        <v>72</v>
      </c>
      <c r="N379" s="12">
        <f>(Shoe_Sales[[#This Row],[Quantity]]*Shoe_Sales[[#This Row],[Selling Price]])</f>
        <v>768</v>
      </c>
      <c r="O379" s="12">
        <f>(Shoe_Sales[[#This Row],[Quantity]]*Shoe_Sales[[#This Row],[Cost Price]])</f>
        <v>432</v>
      </c>
      <c r="P379" s="12">
        <f>(Shoe_Sales[[#This Row],[Revenue]]-Shoe_Sales[[#This Row],[Cost]])</f>
        <v>336</v>
      </c>
      <c r="Q379" s="15">
        <f>(Shoe_Sales[[#This Row],[Profit]]/Shoe_Sales[[#This Row],[Revenue]])</f>
        <v>0.4375</v>
      </c>
    </row>
    <row r="380" spans="1:17" x14ac:dyDescent="0.25">
      <c r="A380" s="8">
        <v>46220</v>
      </c>
      <c r="B380" s="2" t="s">
        <v>59</v>
      </c>
      <c r="C380" s="2" t="str">
        <f t="shared" si="10"/>
        <v>Oxford</v>
      </c>
      <c r="D380" s="2" t="s">
        <v>13</v>
      </c>
      <c r="E380" s="2" t="str">
        <f t="shared" si="11"/>
        <v>Casual</v>
      </c>
      <c r="F380" s="2" t="s">
        <v>24</v>
      </c>
      <c r="G380" s="2" t="s">
        <v>73</v>
      </c>
      <c r="H380" s="2" t="str">
        <f>PROPER(Shoe_Sales[[#This Row],[Brand]])</f>
        <v>Timberland</v>
      </c>
      <c r="I380" s="2" t="s">
        <v>16</v>
      </c>
      <c r="J380" s="3">
        <v>5</v>
      </c>
      <c r="K380" s="2" t="s">
        <v>81</v>
      </c>
      <c r="L380" s="12">
        <f>VLOOKUP(Shoe_Sales[[#This Row],[Product Cleaned]],Price!$A$2:$C$9,2,FALSE)</f>
        <v>105</v>
      </c>
      <c r="M380" s="12">
        <f>VLOOKUP(Shoe_Sales[[#This Row],[Product Cleaned]],Price!$A$2:$C$9,3,0)</f>
        <v>58</v>
      </c>
      <c r="N380" s="12">
        <f>(Shoe_Sales[[#This Row],[Quantity]]*Shoe_Sales[[#This Row],[Selling Price]])</f>
        <v>525</v>
      </c>
      <c r="O380" s="12">
        <f>(Shoe_Sales[[#This Row],[Quantity]]*Shoe_Sales[[#This Row],[Cost Price]])</f>
        <v>290</v>
      </c>
      <c r="P380" s="12">
        <f>(Shoe_Sales[[#This Row],[Revenue]]-Shoe_Sales[[#This Row],[Cost]])</f>
        <v>235</v>
      </c>
      <c r="Q380" s="15">
        <f>(Shoe_Sales[[#This Row],[Profit]]/Shoe_Sales[[#This Row],[Revenue]])</f>
        <v>0.44761904761904764</v>
      </c>
    </row>
    <row r="381" spans="1:17" x14ac:dyDescent="0.25">
      <c r="A381" s="9">
        <v>46073</v>
      </c>
      <c r="B381" s="4" t="s">
        <v>62</v>
      </c>
      <c r="C381" s="2" t="str">
        <f t="shared" si="10"/>
        <v>Brogues</v>
      </c>
      <c r="D381" s="4" t="s">
        <v>52</v>
      </c>
      <c r="E381" s="2" t="str">
        <f t="shared" si="11"/>
        <v>Casual</v>
      </c>
      <c r="F381" s="4" t="s">
        <v>29</v>
      </c>
      <c r="G381" s="4" t="s">
        <v>73</v>
      </c>
      <c r="H381" s="4" t="str">
        <f>PROPER(Shoe_Sales[[#This Row],[Brand]])</f>
        <v>Timberland</v>
      </c>
      <c r="I381" s="4" t="s">
        <v>16</v>
      </c>
      <c r="J381" s="5">
        <v>4</v>
      </c>
      <c r="K381" s="4" t="s">
        <v>79</v>
      </c>
      <c r="L381" s="12">
        <f>VLOOKUP(Shoe_Sales[[#This Row],[Product Cleaned]],Price!$A$2:$C$9,2,FALSE)</f>
        <v>112</v>
      </c>
      <c r="M381" s="12">
        <f>VLOOKUP(Shoe_Sales[[#This Row],[Product Cleaned]],Price!$A$2:$C$9,3,0)</f>
        <v>64</v>
      </c>
      <c r="N381" s="12">
        <f>(Shoe_Sales[[#This Row],[Quantity]]*Shoe_Sales[[#This Row],[Selling Price]])</f>
        <v>448</v>
      </c>
      <c r="O381" s="12">
        <f>(Shoe_Sales[[#This Row],[Quantity]]*Shoe_Sales[[#This Row],[Cost Price]])</f>
        <v>256</v>
      </c>
      <c r="P381" s="12">
        <f>(Shoe_Sales[[#This Row],[Revenue]]-Shoe_Sales[[#This Row],[Cost]])</f>
        <v>192</v>
      </c>
      <c r="Q381" s="15">
        <f>(Shoe_Sales[[#This Row],[Profit]]/Shoe_Sales[[#This Row],[Revenue]])</f>
        <v>0.42857142857142855</v>
      </c>
    </row>
    <row r="382" spans="1:17" x14ac:dyDescent="0.25">
      <c r="A382" s="8">
        <v>46199</v>
      </c>
      <c r="B382" s="2" t="s">
        <v>55</v>
      </c>
      <c r="C382" s="2" t="str">
        <f t="shared" si="10"/>
        <v>Boots</v>
      </c>
      <c r="D382" s="2" t="s">
        <v>13</v>
      </c>
      <c r="E382" s="2" t="str">
        <f t="shared" si="11"/>
        <v>Casual</v>
      </c>
      <c r="F382" s="2" t="s">
        <v>24</v>
      </c>
      <c r="G382" s="2" t="s">
        <v>57</v>
      </c>
      <c r="H382" s="2" t="str">
        <f>PROPER(Shoe_Sales[[#This Row],[Brand]])</f>
        <v>Timberland</v>
      </c>
      <c r="I382" s="2" t="s">
        <v>11</v>
      </c>
      <c r="J382" s="3">
        <v>4</v>
      </c>
      <c r="K382" s="2" t="s">
        <v>79</v>
      </c>
      <c r="L382" s="12">
        <f>VLOOKUP(Shoe_Sales[[#This Row],[Product Cleaned]],Price!$A$2:$C$9,2,FALSE)</f>
        <v>76</v>
      </c>
      <c r="M382" s="12">
        <f>VLOOKUP(Shoe_Sales[[#This Row],[Product Cleaned]],Price!$A$2:$C$9,3,0)</f>
        <v>39</v>
      </c>
      <c r="N382" s="12">
        <f>(Shoe_Sales[[#This Row],[Quantity]]*Shoe_Sales[[#This Row],[Selling Price]])</f>
        <v>304</v>
      </c>
      <c r="O382" s="12">
        <f>(Shoe_Sales[[#This Row],[Quantity]]*Shoe_Sales[[#This Row],[Cost Price]])</f>
        <v>156</v>
      </c>
      <c r="P382" s="12">
        <f>(Shoe_Sales[[#This Row],[Revenue]]-Shoe_Sales[[#This Row],[Cost]])</f>
        <v>148</v>
      </c>
      <c r="Q382" s="15">
        <f>(Shoe_Sales[[#This Row],[Profit]]/Shoe_Sales[[#This Row],[Revenue]])</f>
        <v>0.48684210526315791</v>
      </c>
    </row>
    <row r="383" spans="1:17" x14ac:dyDescent="0.25">
      <c r="A383" s="9">
        <v>46189</v>
      </c>
      <c r="B383" s="4" t="s">
        <v>74</v>
      </c>
      <c r="C383" s="2" t="str">
        <f t="shared" si="10"/>
        <v>Oxford</v>
      </c>
      <c r="D383" s="4" t="s">
        <v>8</v>
      </c>
      <c r="E383" s="2" t="str">
        <f t="shared" si="11"/>
        <v>Formal</v>
      </c>
      <c r="F383" s="4" t="s">
        <v>24</v>
      </c>
      <c r="G383" s="4" t="s">
        <v>69</v>
      </c>
      <c r="H383" s="4" t="str">
        <f>PROPER(Shoe_Sales[[#This Row],[Brand]])</f>
        <v>Nike</v>
      </c>
      <c r="I383" s="4" t="s">
        <v>26</v>
      </c>
      <c r="J383" s="5">
        <v>10</v>
      </c>
      <c r="K383" s="4" t="s">
        <v>81</v>
      </c>
      <c r="L383" s="12">
        <f>VLOOKUP(Shoe_Sales[[#This Row],[Product Cleaned]],Price!$A$2:$C$9,2,FALSE)</f>
        <v>105</v>
      </c>
      <c r="M383" s="12">
        <f>VLOOKUP(Shoe_Sales[[#This Row],[Product Cleaned]],Price!$A$2:$C$9,3,0)</f>
        <v>58</v>
      </c>
      <c r="N383" s="12">
        <f>(Shoe_Sales[[#This Row],[Quantity]]*Shoe_Sales[[#This Row],[Selling Price]])</f>
        <v>1050</v>
      </c>
      <c r="O383" s="12">
        <f>(Shoe_Sales[[#This Row],[Quantity]]*Shoe_Sales[[#This Row],[Cost Price]])</f>
        <v>580</v>
      </c>
      <c r="P383" s="12">
        <f>(Shoe_Sales[[#This Row],[Revenue]]-Shoe_Sales[[#This Row],[Cost]])</f>
        <v>470</v>
      </c>
      <c r="Q383" s="15">
        <f>(Shoe_Sales[[#This Row],[Profit]]/Shoe_Sales[[#This Row],[Revenue]])</f>
        <v>0.44761904761904764</v>
      </c>
    </row>
    <row r="384" spans="1:17" x14ac:dyDescent="0.25">
      <c r="A384" s="8">
        <v>46185</v>
      </c>
      <c r="B384" s="2" t="s">
        <v>76</v>
      </c>
      <c r="C384" s="2" t="str">
        <f t="shared" si="10"/>
        <v>Monk Straps</v>
      </c>
      <c r="D384" s="2" t="s">
        <v>18</v>
      </c>
      <c r="E384" s="2" t="str">
        <f t="shared" si="11"/>
        <v>Open</v>
      </c>
      <c r="F384" s="2" t="s">
        <v>9</v>
      </c>
      <c r="G384" s="2" t="s">
        <v>69</v>
      </c>
      <c r="H384" s="2" t="str">
        <f>PROPER(Shoe_Sales[[#This Row],[Brand]])</f>
        <v>Nike</v>
      </c>
      <c r="I384" s="2" t="s">
        <v>46</v>
      </c>
      <c r="J384" s="3">
        <v>14</v>
      </c>
      <c r="K384" s="2" t="s">
        <v>81</v>
      </c>
      <c r="L384" s="12">
        <f>VLOOKUP(Shoe_Sales[[#This Row],[Product Cleaned]],Price!$A$2:$C$9,2,FALSE)</f>
        <v>89</v>
      </c>
      <c r="M384" s="12">
        <f>VLOOKUP(Shoe_Sales[[#This Row],[Product Cleaned]],Price!$A$2:$C$9,3,0)</f>
        <v>47</v>
      </c>
      <c r="N384" s="12">
        <f>(Shoe_Sales[[#This Row],[Quantity]]*Shoe_Sales[[#This Row],[Selling Price]])</f>
        <v>1246</v>
      </c>
      <c r="O384" s="12">
        <f>(Shoe_Sales[[#This Row],[Quantity]]*Shoe_Sales[[#This Row],[Cost Price]])</f>
        <v>658</v>
      </c>
      <c r="P384" s="12">
        <f>(Shoe_Sales[[#This Row],[Revenue]]-Shoe_Sales[[#This Row],[Cost]])</f>
        <v>588</v>
      </c>
      <c r="Q384" s="15">
        <f>(Shoe_Sales[[#This Row],[Profit]]/Shoe_Sales[[#This Row],[Revenue]])</f>
        <v>0.47191011235955055</v>
      </c>
    </row>
    <row r="385" spans="1:17" x14ac:dyDescent="0.25">
      <c r="A385" s="9">
        <v>46201</v>
      </c>
      <c r="B385" s="4" t="s">
        <v>17</v>
      </c>
      <c r="C385" s="2" t="str">
        <f t="shared" si="10"/>
        <v>Slippers</v>
      </c>
      <c r="D385" s="4" t="s">
        <v>23</v>
      </c>
      <c r="E385" s="2" t="str">
        <f t="shared" si="11"/>
        <v>Casual</v>
      </c>
      <c r="F385" s="4" t="s">
        <v>29</v>
      </c>
      <c r="G385" s="4" t="s">
        <v>30</v>
      </c>
      <c r="H385" s="4" t="str">
        <f>PROPER(Shoe_Sales[[#This Row],[Brand]])</f>
        <v>Timberland</v>
      </c>
      <c r="I385" s="4" t="s">
        <v>31</v>
      </c>
      <c r="J385" s="5">
        <v>8</v>
      </c>
      <c r="K385" s="4" t="s">
        <v>82</v>
      </c>
      <c r="L385" s="12">
        <f>VLOOKUP(Shoe_Sales[[#This Row],[Product Cleaned]],Price!$A$2:$C$9,2,FALSE)</f>
        <v>119</v>
      </c>
      <c r="M385" s="12">
        <f>VLOOKUP(Shoe_Sales[[#This Row],[Product Cleaned]],Price!$A$2:$C$9,3,0)</f>
        <v>67</v>
      </c>
      <c r="N385" s="12">
        <f>(Shoe_Sales[[#This Row],[Quantity]]*Shoe_Sales[[#This Row],[Selling Price]])</f>
        <v>952</v>
      </c>
      <c r="O385" s="12">
        <f>(Shoe_Sales[[#This Row],[Quantity]]*Shoe_Sales[[#This Row],[Cost Price]])</f>
        <v>536</v>
      </c>
      <c r="P385" s="12">
        <f>(Shoe_Sales[[#This Row],[Revenue]]-Shoe_Sales[[#This Row],[Cost]])</f>
        <v>416</v>
      </c>
      <c r="Q385" s="15">
        <f>(Shoe_Sales[[#This Row],[Profit]]/Shoe_Sales[[#This Row],[Revenue]])</f>
        <v>0.43697478991596639</v>
      </c>
    </row>
    <row r="386" spans="1:17" x14ac:dyDescent="0.25">
      <c r="A386" s="8">
        <v>46031</v>
      </c>
      <c r="B386" s="2" t="s">
        <v>12</v>
      </c>
      <c r="C386" s="2" t="str">
        <f t="shared" ref="C386:C449" si="12">TRIM(PROPER(B386))</f>
        <v>Canvas</v>
      </c>
      <c r="D386" s="2" t="s">
        <v>39</v>
      </c>
      <c r="E386" s="2" t="str">
        <f t="shared" si="11"/>
        <v>Formal</v>
      </c>
      <c r="F386" s="2" t="s">
        <v>9</v>
      </c>
      <c r="G386" s="2" t="s">
        <v>53</v>
      </c>
      <c r="H386" s="2" t="str">
        <f>PROPER(Shoe_Sales[[#This Row],[Brand]])</f>
        <v>Zara</v>
      </c>
      <c r="I386" s="2" t="s">
        <v>41</v>
      </c>
      <c r="J386" s="3">
        <v>3</v>
      </c>
      <c r="K386" s="2" t="s">
        <v>81</v>
      </c>
      <c r="L386" s="12">
        <f>VLOOKUP(Shoe_Sales[[#This Row],[Product Cleaned]],Price!$A$2:$C$9,2,FALSE)</f>
        <v>128</v>
      </c>
      <c r="M386" s="12">
        <f>VLOOKUP(Shoe_Sales[[#This Row],[Product Cleaned]],Price!$A$2:$C$9,3,0)</f>
        <v>72</v>
      </c>
      <c r="N386" s="12">
        <f>(Shoe_Sales[[#This Row],[Quantity]]*Shoe_Sales[[#This Row],[Selling Price]])</f>
        <v>384</v>
      </c>
      <c r="O386" s="12">
        <f>(Shoe_Sales[[#This Row],[Quantity]]*Shoe_Sales[[#This Row],[Cost Price]])</f>
        <v>216</v>
      </c>
      <c r="P386" s="12">
        <f>(Shoe_Sales[[#This Row],[Revenue]]-Shoe_Sales[[#This Row],[Cost]])</f>
        <v>168</v>
      </c>
      <c r="Q386" s="15">
        <f>(Shoe_Sales[[#This Row],[Profit]]/Shoe_Sales[[#This Row],[Revenue]])</f>
        <v>0.4375</v>
      </c>
    </row>
    <row r="387" spans="1:17" x14ac:dyDescent="0.25">
      <c r="A387" s="9">
        <v>46208</v>
      </c>
      <c r="B387" s="4" t="s">
        <v>65</v>
      </c>
      <c r="C387" s="2" t="str">
        <f t="shared" si="12"/>
        <v>Canvas</v>
      </c>
      <c r="D387" s="4" t="s">
        <v>8</v>
      </c>
      <c r="E387" s="2" t="str">
        <f t="shared" ref="E387:E450" si="13">PROPER(D387)</f>
        <v>Formal</v>
      </c>
      <c r="F387" s="4" t="s">
        <v>9</v>
      </c>
      <c r="G387" s="4" t="s">
        <v>10</v>
      </c>
      <c r="H387" s="4" t="str">
        <f>PROPER(Shoe_Sales[[#This Row],[Brand]])</f>
        <v>Clarks</v>
      </c>
      <c r="I387" s="4" t="s">
        <v>61</v>
      </c>
      <c r="J387" s="5">
        <v>13</v>
      </c>
      <c r="K387" s="4" t="s">
        <v>79</v>
      </c>
      <c r="L387" s="12">
        <f>VLOOKUP(Shoe_Sales[[#This Row],[Product Cleaned]],Price!$A$2:$C$9,2,FALSE)</f>
        <v>128</v>
      </c>
      <c r="M387" s="12">
        <f>VLOOKUP(Shoe_Sales[[#This Row],[Product Cleaned]],Price!$A$2:$C$9,3,0)</f>
        <v>72</v>
      </c>
      <c r="N387" s="12">
        <f>(Shoe_Sales[[#This Row],[Quantity]]*Shoe_Sales[[#This Row],[Selling Price]])</f>
        <v>1664</v>
      </c>
      <c r="O387" s="12">
        <f>(Shoe_Sales[[#This Row],[Quantity]]*Shoe_Sales[[#This Row],[Cost Price]])</f>
        <v>936</v>
      </c>
      <c r="P387" s="12">
        <f>(Shoe_Sales[[#This Row],[Revenue]]-Shoe_Sales[[#This Row],[Cost]])</f>
        <v>728</v>
      </c>
      <c r="Q387" s="15">
        <f>(Shoe_Sales[[#This Row],[Profit]]/Shoe_Sales[[#This Row],[Revenue]])</f>
        <v>0.4375</v>
      </c>
    </row>
    <row r="388" spans="1:17" x14ac:dyDescent="0.25">
      <c r="A388" s="8">
        <v>46196</v>
      </c>
      <c r="B388" s="2" t="s">
        <v>7</v>
      </c>
      <c r="C388" s="2" t="str">
        <f t="shared" si="12"/>
        <v>Derby</v>
      </c>
      <c r="D388" s="2" t="s">
        <v>8</v>
      </c>
      <c r="E388" s="2" t="str">
        <f t="shared" si="13"/>
        <v>Formal</v>
      </c>
      <c r="F388" s="2" t="s">
        <v>29</v>
      </c>
      <c r="G388" s="2" t="s">
        <v>49</v>
      </c>
      <c r="H388" s="2" t="str">
        <f>PROPER(Shoe_Sales[[#This Row],[Brand]])</f>
        <v>Nike</v>
      </c>
      <c r="I388" s="2" t="s">
        <v>11</v>
      </c>
      <c r="J388" s="3">
        <v>8</v>
      </c>
      <c r="K388" s="2" t="s">
        <v>79</v>
      </c>
      <c r="L388" s="12">
        <f>VLOOKUP(Shoe_Sales[[#This Row],[Product Cleaned]],Price!$A$2:$C$9,2,FALSE)</f>
        <v>32</v>
      </c>
      <c r="M388" s="12">
        <f>VLOOKUP(Shoe_Sales[[#This Row],[Product Cleaned]],Price!$A$2:$C$9,3,0)</f>
        <v>14</v>
      </c>
      <c r="N388" s="12">
        <f>(Shoe_Sales[[#This Row],[Quantity]]*Shoe_Sales[[#This Row],[Selling Price]])</f>
        <v>256</v>
      </c>
      <c r="O388" s="12">
        <f>(Shoe_Sales[[#This Row],[Quantity]]*Shoe_Sales[[#This Row],[Cost Price]])</f>
        <v>112</v>
      </c>
      <c r="P388" s="12">
        <f>(Shoe_Sales[[#This Row],[Revenue]]-Shoe_Sales[[#This Row],[Cost]])</f>
        <v>144</v>
      </c>
      <c r="Q388" s="15">
        <f>(Shoe_Sales[[#This Row],[Profit]]/Shoe_Sales[[#This Row],[Revenue]])</f>
        <v>0.5625</v>
      </c>
    </row>
    <row r="389" spans="1:17" x14ac:dyDescent="0.25">
      <c r="A389" s="9">
        <v>46090</v>
      </c>
      <c r="B389" s="4" t="s">
        <v>51</v>
      </c>
      <c r="C389" s="2" t="str">
        <f t="shared" si="12"/>
        <v>Loafers</v>
      </c>
      <c r="D389" s="4" t="s">
        <v>13</v>
      </c>
      <c r="E389" s="2" t="str">
        <f t="shared" si="13"/>
        <v>Casual</v>
      </c>
      <c r="F389" s="4" t="s">
        <v>29</v>
      </c>
      <c r="G389" s="4" t="s">
        <v>30</v>
      </c>
      <c r="H389" s="4" t="str">
        <f>PROPER(Shoe_Sales[[#This Row],[Brand]])</f>
        <v>Timberland</v>
      </c>
      <c r="I389" s="4" t="s">
        <v>61</v>
      </c>
      <c r="J389" s="5">
        <v>6</v>
      </c>
      <c r="K389" s="4" t="s">
        <v>79</v>
      </c>
      <c r="L389" s="12">
        <f>VLOOKUP(Shoe_Sales[[#This Row],[Product Cleaned]],Price!$A$2:$C$9,2,FALSE)</f>
        <v>54</v>
      </c>
      <c r="M389" s="12">
        <f>VLOOKUP(Shoe_Sales[[#This Row],[Product Cleaned]],Price!$A$2:$C$9,3,0)</f>
        <v>28</v>
      </c>
      <c r="N389" s="12">
        <f>(Shoe_Sales[[#This Row],[Quantity]]*Shoe_Sales[[#This Row],[Selling Price]])</f>
        <v>324</v>
      </c>
      <c r="O389" s="12">
        <f>(Shoe_Sales[[#This Row],[Quantity]]*Shoe_Sales[[#This Row],[Cost Price]])</f>
        <v>168</v>
      </c>
      <c r="P389" s="12">
        <f>(Shoe_Sales[[#This Row],[Revenue]]-Shoe_Sales[[#This Row],[Cost]])</f>
        <v>156</v>
      </c>
      <c r="Q389" s="15">
        <f>(Shoe_Sales[[#This Row],[Profit]]/Shoe_Sales[[#This Row],[Revenue]])</f>
        <v>0.48148148148148145</v>
      </c>
    </row>
    <row r="390" spans="1:17" x14ac:dyDescent="0.25">
      <c r="A390" s="8">
        <v>46043</v>
      </c>
      <c r="B390" s="2" t="s">
        <v>32</v>
      </c>
      <c r="C390" s="2" t="str">
        <f t="shared" si="12"/>
        <v>Oxford</v>
      </c>
      <c r="D390" s="2" t="s">
        <v>39</v>
      </c>
      <c r="E390" s="2" t="str">
        <f t="shared" si="13"/>
        <v>Formal</v>
      </c>
      <c r="F390" s="2" t="s">
        <v>19</v>
      </c>
      <c r="G390" s="2" t="s">
        <v>40</v>
      </c>
      <c r="H390" s="2" t="str">
        <f>PROPER(Shoe_Sales[[#This Row],[Brand]])</f>
        <v>Zara</v>
      </c>
      <c r="I390" s="2" t="s">
        <v>50</v>
      </c>
      <c r="J390" s="3">
        <v>14</v>
      </c>
      <c r="K390" s="2" t="s">
        <v>81</v>
      </c>
      <c r="L390" s="12">
        <f>VLOOKUP(Shoe_Sales[[#This Row],[Product Cleaned]],Price!$A$2:$C$9,2,FALSE)</f>
        <v>105</v>
      </c>
      <c r="M390" s="12">
        <f>VLOOKUP(Shoe_Sales[[#This Row],[Product Cleaned]],Price!$A$2:$C$9,3,0)</f>
        <v>58</v>
      </c>
      <c r="N390" s="12">
        <f>(Shoe_Sales[[#This Row],[Quantity]]*Shoe_Sales[[#This Row],[Selling Price]])</f>
        <v>1470</v>
      </c>
      <c r="O390" s="12">
        <f>(Shoe_Sales[[#This Row],[Quantity]]*Shoe_Sales[[#This Row],[Cost Price]])</f>
        <v>812</v>
      </c>
      <c r="P390" s="12">
        <f>(Shoe_Sales[[#This Row],[Revenue]]-Shoe_Sales[[#This Row],[Cost]])</f>
        <v>658</v>
      </c>
      <c r="Q390" s="15">
        <f>(Shoe_Sales[[#This Row],[Profit]]/Shoe_Sales[[#This Row],[Revenue]])</f>
        <v>0.44761904761904764</v>
      </c>
    </row>
    <row r="391" spans="1:17" x14ac:dyDescent="0.25">
      <c r="A391" s="9">
        <v>46162</v>
      </c>
      <c r="B391" s="4" t="s">
        <v>67</v>
      </c>
      <c r="C391" s="2" t="str">
        <f t="shared" si="12"/>
        <v>Slippers</v>
      </c>
      <c r="D391" s="4" t="s">
        <v>23</v>
      </c>
      <c r="E391" s="2" t="str">
        <f t="shared" si="13"/>
        <v>Casual</v>
      </c>
      <c r="F391" s="4" t="s">
        <v>24</v>
      </c>
      <c r="G391" s="4" t="s">
        <v>60</v>
      </c>
      <c r="H391" s="4" t="str">
        <f>PROPER(Shoe_Sales[[#This Row],[Brand]])</f>
        <v>Clarks</v>
      </c>
      <c r="I391" s="4" t="s">
        <v>21</v>
      </c>
      <c r="J391" s="5">
        <v>1</v>
      </c>
      <c r="K391" s="4" t="s">
        <v>80</v>
      </c>
      <c r="L391" s="12">
        <f>VLOOKUP(Shoe_Sales[[#This Row],[Product Cleaned]],Price!$A$2:$C$9,2,FALSE)</f>
        <v>119</v>
      </c>
      <c r="M391" s="12">
        <f>VLOOKUP(Shoe_Sales[[#This Row],[Product Cleaned]],Price!$A$2:$C$9,3,0)</f>
        <v>67</v>
      </c>
      <c r="N391" s="12">
        <f>(Shoe_Sales[[#This Row],[Quantity]]*Shoe_Sales[[#This Row],[Selling Price]])</f>
        <v>119</v>
      </c>
      <c r="O391" s="12">
        <f>(Shoe_Sales[[#This Row],[Quantity]]*Shoe_Sales[[#This Row],[Cost Price]])</f>
        <v>67</v>
      </c>
      <c r="P391" s="12">
        <f>(Shoe_Sales[[#This Row],[Revenue]]-Shoe_Sales[[#This Row],[Cost]])</f>
        <v>52</v>
      </c>
      <c r="Q391" s="15">
        <f>(Shoe_Sales[[#This Row],[Profit]]/Shoe_Sales[[#This Row],[Revenue]])</f>
        <v>0.43697478991596639</v>
      </c>
    </row>
    <row r="392" spans="1:17" x14ac:dyDescent="0.25">
      <c r="A392" s="8">
        <v>46169</v>
      </c>
      <c r="B392" s="2" t="s">
        <v>65</v>
      </c>
      <c r="C392" s="2" t="str">
        <f t="shared" si="12"/>
        <v>Canvas</v>
      </c>
      <c r="D392" s="2" t="s">
        <v>8</v>
      </c>
      <c r="E392" s="2" t="str">
        <f t="shared" si="13"/>
        <v>Formal</v>
      </c>
      <c r="F392" s="2" t="s">
        <v>29</v>
      </c>
      <c r="G392" s="2" t="s">
        <v>49</v>
      </c>
      <c r="H392" s="2" t="str">
        <f>PROPER(Shoe_Sales[[#This Row],[Brand]])</f>
        <v>Nike</v>
      </c>
      <c r="I392" s="2" t="s">
        <v>35</v>
      </c>
      <c r="J392" s="3">
        <v>11</v>
      </c>
      <c r="K392" s="2" t="s">
        <v>82</v>
      </c>
      <c r="L392" s="12">
        <f>VLOOKUP(Shoe_Sales[[#This Row],[Product Cleaned]],Price!$A$2:$C$9,2,FALSE)</f>
        <v>128</v>
      </c>
      <c r="M392" s="12">
        <f>VLOOKUP(Shoe_Sales[[#This Row],[Product Cleaned]],Price!$A$2:$C$9,3,0)</f>
        <v>72</v>
      </c>
      <c r="N392" s="12">
        <f>(Shoe_Sales[[#This Row],[Quantity]]*Shoe_Sales[[#This Row],[Selling Price]])</f>
        <v>1408</v>
      </c>
      <c r="O392" s="12">
        <f>(Shoe_Sales[[#This Row],[Quantity]]*Shoe_Sales[[#This Row],[Cost Price]])</f>
        <v>792</v>
      </c>
      <c r="P392" s="12">
        <f>(Shoe_Sales[[#This Row],[Revenue]]-Shoe_Sales[[#This Row],[Cost]])</f>
        <v>616</v>
      </c>
      <c r="Q392" s="15">
        <f>(Shoe_Sales[[#This Row],[Profit]]/Shoe_Sales[[#This Row],[Revenue]])</f>
        <v>0.4375</v>
      </c>
    </row>
    <row r="393" spans="1:17" x14ac:dyDescent="0.25">
      <c r="A393" s="9">
        <v>46168</v>
      </c>
      <c r="B393" s="4" t="s">
        <v>64</v>
      </c>
      <c r="C393" s="2" t="str">
        <f t="shared" si="12"/>
        <v>Derby</v>
      </c>
      <c r="D393" s="4" t="s">
        <v>23</v>
      </c>
      <c r="E393" s="2" t="str">
        <f t="shared" si="13"/>
        <v>Casual</v>
      </c>
      <c r="F393" s="4" t="s">
        <v>9</v>
      </c>
      <c r="G393" s="4" t="s">
        <v>60</v>
      </c>
      <c r="H393" s="4" t="str">
        <f>PROPER(Shoe_Sales[[#This Row],[Brand]])</f>
        <v>Clarks</v>
      </c>
      <c r="I393" s="4" t="s">
        <v>21</v>
      </c>
      <c r="J393" s="5">
        <v>9</v>
      </c>
      <c r="K393" s="4" t="s">
        <v>79</v>
      </c>
      <c r="L393" s="12">
        <f>VLOOKUP(Shoe_Sales[[#This Row],[Product Cleaned]],Price!$A$2:$C$9,2,FALSE)</f>
        <v>32</v>
      </c>
      <c r="M393" s="12">
        <f>VLOOKUP(Shoe_Sales[[#This Row],[Product Cleaned]],Price!$A$2:$C$9,3,0)</f>
        <v>14</v>
      </c>
      <c r="N393" s="12">
        <f>(Shoe_Sales[[#This Row],[Quantity]]*Shoe_Sales[[#This Row],[Selling Price]])</f>
        <v>288</v>
      </c>
      <c r="O393" s="12">
        <f>(Shoe_Sales[[#This Row],[Quantity]]*Shoe_Sales[[#This Row],[Cost Price]])</f>
        <v>126</v>
      </c>
      <c r="P393" s="12">
        <f>(Shoe_Sales[[#This Row],[Revenue]]-Shoe_Sales[[#This Row],[Cost]])</f>
        <v>162</v>
      </c>
      <c r="Q393" s="15">
        <f>(Shoe_Sales[[#This Row],[Profit]]/Shoe_Sales[[#This Row],[Revenue]])</f>
        <v>0.5625</v>
      </c>
    </row>
    <row r="394" spans="1:17" x14ac:dyDescent="0.25">
      <c r="A394" s="8">
        <v>46156</v>
      </c>
      <c r="B394" s="2" t="s">
        <v>62</v>
      </c>
      <c r="C394" s="2" t="str">
        <f t="shared" si="12"/>
        <v>Brogues</v>
      </c>
      <c r="D394" s="2" t="s">
        <v>33</v>
      </c>
      <c r="E394" s="2" t="str">
        <f t="shared" si="13"/>
        <v>Formal</v>
      </c>
      <c r="F394" s="2" t="s">
        <v>29</v>
      </c>
      <c r="G394" s="2" t="s">
        <v>53</v>
      </c>
      <c r="H394" s="2" t="str">
        <f>PROPER(Shoe_Sales[[#This Row],[Brand]])</f>
        <v>Zara</v>
      </c>
      <c r="I394" s="2" t="s">
        <v>35</v>
      </c>
      <c r="J394" s="3">
        <v>2</v>
      </c>
      <c r="K394" s="2" t="s">
        <v>79</v>
      </c>
      <c r="L394" s="12">
        <f>VLOOKUP(Shoe_Sales[[#This Row],[Product Cleaned]],Price!$A$2:$C$9,2,FALSE)</f>
        <v>112</v>
      </c>
      <c r="M394" s="12">
        <f>VLOOKUP(Shoe_Sales[[#This Row],[Product Cleaned]],Price!$A$2:$C$9,3,0)</f>
        <v>64</v>
      </c>
      <c r="N394" s="12">
        <f>(Shoe_Sales[[#This Row],[Quantity]]*Shoe_Sales[[#This Row],[Selling Price]])</f>
        <v>224</v>
      </c>
      <c r="O394" s="12">
        <f>(Shoe_Sales[[#This Row],[Quantity]]*Shoe_Sales[[#This Row],[Cost Price]])</f>
        <v>128</v>
      </c>
      <c r="P394" s="12">
        <f>(Shoe_Sales[[#This Row],[Revenue]]-Shoe_Sales[[#This Row],[Cost]])</f>
        <v>96</v>
      </c>
      <c r="Q394" s="15">
        <f>(Shoe_Sales[[#This Row],[Profit]]/Shoe_Sales[[#This Row],[Revenue]])</f>
        <v>0.42857142857142855</v>
      </c>
    </row>
    <row r="395" spans="1:17" x14ac:dyDescent="0.25">
      <c r="A395" s="9">
        <v>46037</v>
      </c>
      <c r="B395" s="4" t="s">
        <v>63</v>
      </c>
      <c r="C395" s="2" t="str">
        <f t="shared" si="12"/>
        <v>Monk Straps</v>
      </c>
      <c r="D395" s="4" t="s">
        <v>39</v>
      </c>
      <c r="E395" s="2" t="str">
        <f t="shared" si="13"/>
        <v>Formal</v>
      </c>
      <c r="F395" s="4" t="s">
        <v>14</v>
      </c>
      <c r="G395" s="4" t="s">
        <v>40</v>
      </c>
      <c r="H395" s="4" t="str">
        <f>PROPER(Shoe_Sales[[#This Row],[Brand]])</f>
        <v>Zara</v>
      </c>
      <c r="I395" s="4" t="s">
        <v>61</v>
      </c>
      <c r="J395" s="5">
        <v>9</v>
      </c>
      <c r="K395" s="4" t="s">
        <v>80</v>
      </c>
      <c r="L395" s="12">
        <f>VLOOKUP(Shoe_Sales[[#This Row],[Product Cleaned]],Price!$A$2:$C$9,2,FALSE)</f>
        <v>89</v>
      </c>
      <c r="M395" s="12">
        <f>VLOOKUP(Shoe_Sales[[#This Row],[Product Cleaned]],Price!$A$2:$C$9,3,0)</f>
        <v>47</v>
      </c>
      <c r="N395" s="12">
        <f>(Shoe_Sales[[#This Row],[Quantity]]*Shoe_Sales[[#This Row],[Selling Price]])</f>
        <v>801</v>
      </c>
      <c r="O395" s="12">
        <f>(Shoe_Sales[[#This Row],[Quantity]]*Shoe_Sales[[#This Row],[Cost Price]])</f>
        <v>423</v>
      </c>
      <c r="P395" s="12">
        <f>(Shoe_Sales[[#This Row],[Revenue]]-Shoe_Sales[[#This Row],[Cost]])</f>
        <v>378</v>
      </c>
      <c r="Q395" s="15">
        <f>(Shoe_Sales[[#This Row],[Profit]]/Shoe_Sales[[#This Row],[Revenue]])</f>
        <v>0.47191011235955055</v>
      </c>
    </row>
    <row r="396" spans="1:17" x14ac:dyDescent="0.25">
      <c r="A396" s="8">
        <v>46175</v>
      </c>
      <c r="B396" s="2" t="s">
        <v>67</v>
      </c>
      <c r="C396" s="2" t="str">
        <f t="shared" si="12"/>
        <v>Slippers</v>
      </c>
      <c r="D396" s="2" t="s">
        <v>39</v>
      </c>
      <c r="E396" s="2" t="str">
        <f t="shared" si="13"/>
        <v>Formal</v>
      </c>
      <c r="F396" s="2" t="s">
        <v>14</v>
      </c>
      <c r="G396" s="2" t="s">
        <v>53</v>
      </c>
      <c r="H396" s="2" t="str">
        <f>PROPER(Shoe_Sales[[#This Row],[Brand]])</f>
        <v>Zara</v>
      </c>
      <c r="I396" s="2" t="s">
        <v>35</v>
      </c>
      <c r="J396" s="3">
        <v>8</v>
      </c>
      <c r="K396" s="2" t="s">
        <v>80</v>
      </c>
      <c r="L396" s="12">
        <f>VLOOKUP(Shoe_Sales[[#This Row],[Product Cleaned]],Price!$A$2:$C$9,2,FALSE)</f>
        <v>119</v>
      </c>
      <c r="M396" s="12">
        <f>VLOOKUP(Shoe_Sales[[#This Row],[Product Cleaned]],Price!$A$2:$C$9,3,0)</f>
        <v>67</v>
      </c>
      <c r="N396" s="12">
        <f>(Shoe_Sales[[#This Row],[Quantity]]*Shoe_Sales[[#This Row],[Selling Price]])</f>
        <v>952</v>
      </c>
      <c r="O396" s="12">
        <f>(Shoe_Sales[[#This Row],[Quantity]]*Shoe_Sales[[#This Row],[Cost Price]])</f>
        <v>536</v>
      </c>
      <c r="P396" s="12">
        <f>(Shoe_Sales[[#This Row],[Revenue]]-Shoe_Sales[[#This Row],[Cost]])</f>
        <v>416</v>
      </c>
      <c r="Q396" s="15">
        <f>(Shoe_Sales[[#This Row],[Profit]]/Shoe_Sales[[#This Row],[Revenue]])</f>
        <v>0.43697478991596639</v>
      </c>
    </row>
    <row r="397" spans="1:17" x14ac:dyDescent="0.25">
      <c r="A397" s="9">
        <v>46173</v>
      </c>
      <c r="B397" s="4" t="s">
        <v>71</v>
      </c>
      <c r="C397" s="2" t="str">
        <f t="shared" si="12"/>
        <v>Boots</v>
      </c>
      <c r="D397" s="4" t="s">
        <v>8</v>
      </c>
      <c r="E397" s="2" t="str">
        <f t="shared" si="13"/>
        <v>Formal</v>
      </c>
      <c r="F397" s="4" t="s">
        <v>29</v>
      </c>
      <c r="G397" s="4" t="s">
        <v>20</v>
      </c>
      <c r="H397" s="4" t="str">
        <f>PROPER(Shoe_Sales[[#This Row],[Brand]])</f>
        <v>Nike</v>
      </c>
      <c r="I397" s="4" t="s">
        <v>26</v>
      </c>
      <c r="J397" s="5">
        <v>9</v>
      </c>
      <c r="K397" s="4" t="s">
        <v>79</v>
      </c>
      <c r="L397" s="12">
        <f>VLOOKUP(Shoe_Sales[[#This Row],[Product Cleaned]],Price!$A$2:$C$9,2,FALSE)</f>
        <v>76</v>
      </c>
      <c r="M397" s="12">
        <f>VLOOKUP(Shoe_Sales[[#This Row],[Product Cleaned]],Price!$A$2:$C$9,3,0)</f>
        <v>39</v>
      </c>
      <c r="N397" s="12">
        <f>(Shoe_Sales[[#This Row],[Quantity]]*Shoe_Sales[[#This Row],[Selling Price]])</f>
        <v>684</v>
      </c>
      <c r="O397" s="12">
        <f>(Shoe_Sales[[#This Row],[Quantity]]*Shoe_Sales[[#This Row],[Cost Price]])</f>
        <v>351</v>
      </c>
      <c r="P397" s="12">
        <f>(Shoe_Sales[[#This Row],[Revenue]]-Shoe_Sales[[#This Row],[Cost]])</f>
        <v>333</v>
      </c>
      <c r="Q397" s="15">
        <f>(Shoe_Sales[[#This Row],[Profit]]/Shoe_Sales[[#This Row],[Revenue]])</f>
        <v>0.48684210526315791</v>
      </c>
    </row>
    <row r="398" spans="1:17" x14ac:dyDescent="0.25">
      <c r="A398" s="8">
        <v>46024</v>
      </c>
      <c r="B398" s="2" t="s">
        <v>27</v>
      </c>
      <c r="C398" s="2" t="str">
        <f t="shared" si="12"/>
        <v>Boots</v>
      </c>
      <c r="D398" s="2" t="s">
        <v>33</v>
      </c>
      <c r="E398" s="2" t="str">
        <f t="shared" si="13"/>
        <v>Formal</v>
      </c>
      <c r="F398" s="2" t="s">
        <v>9</v>
      </c>
      <c r="G398" s="2" t="s">
        <v>60</v>
      </c>
      <c r="H398" s="2" t="str">
        <f>PROPER(Shoe_Sales[[#This Row],[Brand]])</f>
        <v>Clarks</v>
      </c>
      <c r="I398" s="2" t="s">
        <v>54</v>
      </c>
      <c r="J398" s="3">
        <v>11</v>
      </c>
      <c r="K398" s="2" t="s">
        <v>80</v>
      </c>
      <c r="L398" s="12">
        <f>VLOOKUP(Shoe_Sales[[#This Row],[Product Cleaned]],Price!$A$2:$C$9,2,FALSE)</f>
        <v>76</v>
      </c>
      <c r="M398" s="12">
        <f>VLOOKUP(Shoe_Sales[[#This Row],[Product Cleaned]],Price!$A$2:$C$9,3,0)</f>
        <v>39</v>
      </c>
      <c r="N398" s="12">
        <f>(Shoe_Sales[[#This Row],[Quantity]]*Shoe_Sales[[#This Row],[Selling Price]])</f>
        <v>836</v>
      </c>
      <c r="O398" s="12">
        <f>(Shoe_Sales[[#This Row],[Quantity]]*Shoe_Sales[[#This Row],[Cost Price]])</f>
        <v>429</v>
      </c>
      <c r="P398" s="12">
        <f>(Shoe_Sales[[#This Row],[Revenue]]-Shoe_Sales[[#This Row],[Cost]])</f>
        <v>407</v>
      </c>
      <c r="Q398" s="15">
        <f>(Shoe_Sales[[#This Row],[Profit]]/Shoe_Sales[[#This Row],[Revenue]])</f>
        <v>0.48684210526315791</v>
      </c>
    </row>
    <row r="399" spans="1:17" x14ac:dyDescent="0.25">
      <c r="A399" s="9">
        <v>46047</v>
      </c>
      <c r="B399" s="4" t="s">
        <v>59</v>
      </c>
      <c r="C399" s="2" t="str">
        <f t="shared" si="12"/>
        <v>Oxford</v>
      </c>
      <c r="D399" s="4" t="s">
        <v>28</v>
      </c>
      <c r="E399" s="2" t="str">
        <f t="shared" si="13"/>
        <v>Utility</v>
      </c>
      <c r="F399" s="4" t="s">
        <v>9</v>
      </c>
      <c r="G399" s="4" t="s">
        <v>60</v>
      </c>
      <c r="H399" s="4" t="str">
        <f>PROPER(Shoe_Sales[[#This Row],[Brand]])</f>
        <v>Clarks</v>
      </c>
      <c r="I399" s="4" t="s">
        <v>35</v>
      </c>
      <c r="J399" s="5">
        <v>8</v>
      </c>
      <c r="K399" s="4" t="s">
        <v>79</v>
      </c>
      <c r="L399" s="12">
        <f>VLOOKUP(Shoe_Sales[[#This Row],[Product Cleaned]],Price!$A$2:$C$9,2,FALSE)</f>
        <v>105</v>
      </c>
      <c r="M399" s="12">
        <f>VLOOKUP(Shoe_Sales[[#This Row],[Product Cleaned]],Price!$A$2:$C$9,3,0)</f>
        <v>58</v>
      </c>
      <c r="N399" s="12">
        <f>(Shoe_Sales[[#This Row],[Quantity]]*Shoe_Sales[[#This Row],[Selling Price]])</f>
        <v>840</v>
      </c>
      <c r="O399" s="12">
        <f>(Shoe_Sales[[#This Row],[Quantity]]*Shoe_Sales[[#This Row],[Cost Price]])</f>
        <v>464</v>
      </c>
      <c r="P399" s="12">
        <f>(Shoe_Sales[[#This Row],[Revenue]]-Shoe_Sales[[#This Row],[Cost]])</f>
        <v>376</v>
      </c>
      <c r="Q399" s="15">
        <f>(Shoe_Sales[[#This Row],[Profit]]/Shoe_Sales[[#This Row],[Revenue]])</f>
        <v>0.44761904761904764</v>
      </c>
    </row>
    <row r="400" spans="1:17" x14ac:dyDescent="0.25">
      <c r="A400" s="8">
        <v>46112</v>
      </c>
      <c r="B400" s="2" t="s">
        <v>42</v>
      </c>
      <c r="C400" s="2" t="str">
        <f t="shared" si="12"/>
        <v>Derby</v>
      </c>
      <c r="D400" s="2" t="s">
        <v>18</v>
      </c>
      <c r="E400" s="2" t="str">
        <f t="shared" si="13"/>
        <v>Open</v>
      </c>
      <c r="F400" s="2" t="s">
        <v>29</v>
      </c>
      <c r="G400" s="2" t="s">
        <v>25</v>
      </c>
      <c r="H400" s="2" t="str">
        <f>PROPER(Shoe_Sales[[#This Row],[Brand]])</f>
        <v>Zara</v>
      </c>
      <c r="I400" s="2" t="s">
        <v>37</v>
      </c>
      <c r="J400" s="3">
        <v>7</v>
      </c>
      <c r="K400" s="2" t="s">
        <v>81</v>
      </c>
      <c r="L400" s="12">
        <f>VLOOKUP(Shoe_Sales[[#This Row],[Product Cleaned]],Price!$A$2:$C$9,2,FALSE)</f>
        <v>32</v>
      </c>
      <c r="M400" s="12">
        <f>VLOOKUP(Shoe_Sales[[#This Row],[Product Cleaned]],Price!$A$2:$C$9,3,0)</f>
        <v>14</v>
      </c>
      <c r="N400" s="12">
        <f>(Shoe_Sales[[#This Row],[Quantity]]*Shoe_Sales[[#This Row],[Selling Price]])</f>
        <v>224</v>
      </c>
      <c r="O400" s="12">
        <f>(Shoe_Sales[[#This Row],[Quantity]]*Shoe_Sales[[#This Row],[Cost Price]])</f>
        <v>98</v>
      </c>
      <c r="P400" s="12">
        <f>(Shoe_Sales[[#This Row],[Revenue]]-Shoe_Sales[[#This Row],[Cost]])</f>
        <v>126</v>
      </c>
      <c r="Q400" s="15">
        <f>(Shoe_Sales[[#This Row],[Profit]]/Shoe_Sales[[#This Row],[Revenue]])</f>
        <v>0.5625</v>
      </c>
    </row>
    <row r="401" spans="1:17" x14ac:dyDescent="0.25">
      <c r="A401" s="9">
        <v>46085</v>
      </c>
      <c r="B401" s="4" t="s">
        <v>70</v>
      </c>
      <c r="C401" s="2" t="str">
        <f t="shared" si="12"/>
        <v>Loafers</v>
      </c>
      <c r="D401" s="4" t="s">
        <v>39</v>
      </c>
      <c r="E401" s="2" t="str">
        <f t="shared" si="13"/>
        <v>Formal</v>
      </c>
      <c r="F401" s="4" t="s">
        <v>19</v>
      </c>
      <c r="G401" s="4" t="s">
        <v>15</v>
      </c>
      <c r="H401" s="4" t="str">
        <f>PROPER(Shoe_Sales[[#This Row],[Brand]])</f>
        <v>Steve Madden</v>
      </c>
      <c r="I401" s="4" t="s">
        <v>46</v>
      </c>
      <c r="J401" s="5">
        <v>8</v>
      </c>
      <c r="K401" s="4" t="s">
        <v>81</v>
      </c>
      <c r="L401" s="12">
        <f>VLOOKUP(Shoe_Sales[[#This Row],[Product Cleaned]],Price!$A$2:$C$9,2,FALSE)</f>
        <v>54</v>
      </c>
      <c r="M401" s="12">
        <f>VLOOKUP(Shoe_Sales[[#This Row],[Product Cleaned]],Price!$A$2:$C$9,3,0)</f>
        <v>28</v>
      </c>
      <c r="N401" s="12">
        <f>(Shoe_Sales[[#This Row],[Quantity]]*Shoe_Sales[[#This Row],[Selling Price]])</f>
        <v>432</v>
      </c>
      <c r="O401" s="12">
        <f>(Shoe_Sales[[#This Row],[Quantity]]*Shoe_Sales[[#This Row],[Cost Price]])</f>
        <v>224</v>
      </c>
      <c r="P401" s="12">
        <f>(Shoe_Sales[[#This Row],[Revenue]]-Shoe_Sales[[#This Row],[Cost]])</f>
        <v>208</v>
      </c>
      <c r="Q401" s="15">
        <f>(Shoe_Sales[[#This Row],[Profit]]/Shoe_Sales[[#This Row],[Revenue]])</f>
        <v>0.48148148148148145</v>
      </c>
    </row>
    <row r="402" spans="1:17" x14ac:dyDescent="0.25">
      <c r="A402" s="8">
        <v>46117</v>
      </c>
      <c r="B402" s="2" t="s">
        <v>76</v>
      </c>
      <c r="C402" s="2" t="str">
        <f t="shared" si="12"/>
        <v>Monk Straps</v>
      </c>
      <c r="D402" s="2" t="s">
        <v>28</v>
      </c>
      <c r="E402" s="2" t="str">
        <f t="shared" si="13"/>
        <v>Utility</v>
      </c>
      <c r="F402" s="2" t="s">
        <v>19</v>
      </c>
      <c r="G402" s="2" t="s">
        <v>40</v>
      </c>
      <c r="H402" s="2" t="str">
        <f>PROPER(Shoe_Sales[[#This Row],[Brand]])</f>
        <v>Zara</v>
      </c>
      <c r="I402" s="2" t="s">
        <v>35</v>
      </c>
      <c r="J402" s="3">
        <v>13</v>
      </c>
      <c r="K402" s="2" t="s">
        <v>82</v>
      </c>
      <c r="L402" s="12">
        <f>VLOOKUP(Shoe_Sales[[#This Row],[Product Cleaned]],Price!$A$2:$C$9,2,FALSE)</f>
        <v>89</v>
      </c>
      <c r="M402" s="12">
        <f>VLOOKUP(Shoe_Sales[[#This Row],[Product Cleaned]],Price!$A$2:$C$9,3,0)</f>
        <v>47</v>
      </c>
      <c r="N402" s="12">
        <f>(Shoe_Sales[[#This Row],[Quantity]]*Shoe_Sales[[#This Row],[Selling Price]])</f>
        <v>1157</v>
      </c>
      <c r="O402" s="12">
        <f>(Shoe_Sales[[#This Row],[Quantity]]*Shoe_Sales[[#This Row],[Cost Price]])</f>
        <v>611</v>
      </c>
      <c r="P402" s="12">
        <f>(Shoe_Sales[[#This Row],[Revenue]]-Shoe_Sales[[#This Row],[Cost]])</f>
        <v>546</v>
      </c>
      <c r="Q402" s="15">
        <f>(Shoe_Sales[[#This Row],[Profit]]/Shoe_Sales[[#This Row],[Revenue]])</f>
        <v>0.47191011235955055</v>
      </c>
    </row>
    <row r="403" spans="1:17" x14ac:dyDescent="0.25">
      <c r="A403" s="9">
        <v>46107</v>
      </c>
      <c r="B403" s="4" t="s">
        <v>75</v>
      </c>
      <c r="C403" s="2" t="str">
        <f t="shared" si="12"/>
        <v>Brogues</v>
      </c>
      <c r="D403" s="4" t="s">
        <v>56</v>
      </c>
      <c r="E403" s="2" t="str">
        <f t="shared" si="13"/>
        <v>Utility</v>
      </c>
      <c r="F403" s="4" t="s">
        <v>14</v>
      </c>
      <c r="G403" s="4" t="s">
        <v>40</v>
      </c>
      <c r="H403" s="4" t="str">
        <f>PROPER(Shoe_Sales[[#This Row],[Brand]])</f>
        <v>Zara</v>
      </c>
      <c r="I403" s="4" t="s">
        <v>16</v>
      </c>
      <c r="J403" s="5">
        <v>14</v>
      </c>
      <c r="K403" s="4" t="s">
        <v>80</v>
      </c>
      <c r="L403" s="12">
        <f>VLOOKUP(Shoe_Sales[[#This Row],[Product Cleaned]],Price!$A$2:$C$9,2,FALSE)</f>
        <v>112</v>
      </c>
      <c r="M403" s="12">
        <f>VLOOKUP(Shoe_Sales[[#This Row],[Product Cleaned]],Price!$A$2:$C$9,3,0)</f>
        <v>64</v>
      </c>
      <c r="N403" s="12">
        <f>(Shoe_Sales[[#This Row],[Quantity]]*Shoe_Sales[[#This Row],[Selling Price]])</f>
        <v>1568</v>
      </c>
      <c r="O403" s="12">
        <f>(Shoe_Sales[[#This Row],[Quantity]]*Shoe_Sales[[#This Row],[Cost Price]])</f>
        <v>896</v>
      </c>
      <c r="P403" s="12">
        <f>(Shoe_Sales[[#This Row],[Revenue]]-Shoe_Sales[[#This Row],[Cost]])</f>
        <v>672</v>
      </c>
      <c r="Q403" s="15">
        <f>(Shoe_Sales[[#This Row],[Profit]]/Shoe_Sales[[#This Row],[Revenue]])</f>
        <v>0.42857142857142855</v>
      </c>
    </row>
    <row r="404" spans="1:17" x14ac:dyDescent="0.25">
      <c r="A404" s="8">
        <v>46142</v>
      </c>
      <c r="B404" s="2" t="s">
        <v>38</v>
      </c>
      <c r="C404" s="2" t="str">
        <f t="shared" si="12"/>
        <v>Monk Straps</v>
      </c>
      <c r="D404" s="2" t="s">
        <v>18</v>
      </c>
      <c r="E404" s="2" t="str">
        <f t="shared" si="13"/>
        <v>Open</v>
      </c>
      <c r="F404" s="2" t="s">
        <v>14</v>
      </c>
      <c r="G404" s="2" t="s">
        <v>34</v>
      </c>
      <c r="H404" s="2" t="str">
        <f>PROPER(Shoe_Sales[[#This Row],[Brand]])</f>
        <v>Clarks</v>
      </c>
      <c r="I404" s="2" t="s">
        <v>46</v>
      </c>
      <c r="J404" s="3">
        <v>11</v>
      </c>
      <c r="K404" s="2" t="s">
        <v>82</v>
      </c>
      <c r="L404" s="12">
        <f>VLOOKUP(Shoe_Sales[[#This Row],[Product Cleaned]],Price!$A$2:$C$9,2,FALSE)</f>
        <v>89</v>
      </c>
      <c r="M404" s="12">
        <f>VLOOKUP(Shoe_Sales[[#This Row],[Product Cleaned]],Price!$A$2:$C$9,3,0)</f>
        <v>47</v>
      </c>
      <c r="N404" s="12">
        <f>(Shoe_Sales[[#This Row],[Quantity]]*Shoe_Sales[[#This Row],[Selling Price]])</f>
        <v>979</v>
      </c>
      <c r="O404" s="12">
        <f>(Shoe_Sales[[#This Row],[Quantity]]*Shoe_Sales[[#This Row],[Cost Price]])</f>
        <v>517</v>
      </c>
      <c r="P404" s="12">
        <f>(Shoe_Sales[[#This Row],[Revenue]]-Shoe_Sales[[#This Row],[Cost]])</f>
        <v>462</v>
      </c>
      <c r="Q404" s="15">
        <f>(Shoe_Sales[[#This Row],[Profit]]/Shoe_Sales[[#This Row],[Revenue]])</f>
        <v>0.47191011235955055</v>
      </c>
    </row>
    <row r="405" spans="1:17" x14ac:dyDescent="0.25">
      <c r="A405" s="9">
        <v>46029</v>
      </c>
      <c r="B405" s="4" t="s">
        <v>27</v>
      </c>
      <c r="C405" s="2" t="str">
        <f t="shared" si="12"/>
        <v>Boots</v>
      </c>
      <c r="D405" s="4" t="s">
        <v>48</v>
      </c>
      <c r="E405" s="2" t="str">
        <f t="shared" si="13"/>
        <v>Open</v>
      </c>
      <c r="F405" s="4" t="s">
        <v>29</v>
      </c>
      <c r="G405" s="4" t="s">
        <v>25</v>
      </c>
      <c r="H405" s="4" t="str">
        <f>PROPER(Shoe_Sales[[#This Row],[Brand]])</f>
        <v>Zara</v>
      </c>
      <c r="I405" s="4" t="s">
        <v>61</v>
      </c>
      <c r="J405" s="5">
        <v>14</v>
      </c>
      <c r="K405" s="4" t="s">
        <v>80</v>
      </c>
      <c r="L405" s="12">
        <f>VLOOKUP(Shoe_Sales[[#This Row],[Product Cleaned]],Price!$A$2:$C$9,2,FALSE)</f>
        <v>76</v>
      </c>
      <c r="M405" s="12">
        <f>VLOOKUP(Shoe_Sales[[#This Row],[Product Cleaned]],Price!$A$2:$C$9,3,0)</f>
        <v>39</v>
      </c>
      <c r="N405" s="12">
        <f>(Shoe_Sales[[#This Row],[Quantity]]*Shoe_Sales[[#This Row],[Selling Price]])</f>
        <v>1064</v>
      </c>
      <c r="O405" s="12">
        <f>(Shoe_Sales[[#This Row],[Quantity]]*Shoe_Sales[[#This Row],[Cost Price]])</f>
        <v>546</v>
      </c>
      <c r="P405" s="12">
        <f>(Shoe_Sales[[#This Row],[Revenue]]-Shoe_Sales[[#This Row],[Cost]])</f>
        <v>518</v>
      </c>
      <c r="Q405" s="15">
        <f>(Shoe_Sales[[#This Row],[Profit]]/Shoe_Sales[[#This Row],[Revenue]])</f>
        <v>0.48684210526315791</v>
      </c>
    </row>
    <row r="406" spans="1:17" x14ac:dyDescent="0.25">
      <c r="A406" s="8">
        <v>46112</v>
      </c>
      <c r="B406" s="2" t="s">
        <v>44</v>
      </c>
      <c r="C406" s="2" t="str">
        <f t="shared" si="12"/>
        <v>Canvas</v>
      </c>
      <c r="D406" s="2" t="s">
        <v>8</v>
      </c>
      <c r="E406" s="2" t="str">
        <f t="shared" si="13"/>
        <v>Formal</v>
      </c>
      <c r="F406" s="2" t="s">
        <v>19</v>
      </c>
      <c r="G406" s="2" t="s">
        <v>49</v>
      </c>
      <c r="H406" s="2" t="str">
        <f>PROPER(Shoe_Sales[[#This Row],[Brand]])</f>
        <v>Nike</v>
      </c>
      <c r="I406" s="2" t="s">
        <v>46</v>
      </c>
      <c r="J406" s="3">
        <v>13</v>
      </c>
      <c r="K406" s="2" t="s">
        <v>79</v>
      </c>
      <c r="L406" s="12">
        <f>VLOOKUP(Shoe_Sales[[#This Row],[Product Cleaned]],Price!$A$2:$C$9,2,FALSE)</f>
        <v>128</v>
      </c>
      <c r="M406" s="12">
        <f>VLOOKUP(Shoe_Sales[[#This Row],[Product Cleaned]],Price!$A$2:$C$9,3,0)</f>
        <v>72</v>
      </c>
      <c r="N406" s="12">
        <f>(Shoe_Sales[[#This Row],[Quantity]]*Shoe_Sales[[#This Row],[Selling Price]])</f>
        <v>1664</v>
      </c>
      <c r="O406" s="12">
        <f>(Shoe_Sales[[#This Row],[Quantity]]*Shoe_Sales[[#This Row],[Cost Price]])</f>
        <v>936</v>
      </c>
      <c r="P406" s="12">
        <f>(Shoe_Sales[[#This Row],[Revenue]]-Shoe_Sales[[#This Row],[Cost]])</f>
        <v>728</v>
      </c>
      <c r="Q406" s="15">
        <f>(Shoe_Sales[[#This Row],[Profit]]/Shoe_Sales[[#This Row],[Revenue]])</f>
        <v>0.4375</v>
      </c>
    </row>
    <row r="407" spans="1:17" x14ac:dyDescent="0.25">
      <c r="A407" s="9">
        <v>46220</v>
      </c>
      <c r="B407" s="4" t="s">
        <v>74</v>
      </c>
      <c r="C407" s="2" t="str">
        <f t="shared" si="12"/>
        <v>Oxford</v>
      </c>
      <c r="D407" s="4" t="s">
        <v>52</v>
      </c>
      <c r="E407" s="2" t="str">
        <f t="shared" si="13"/>
        <v>Casual</v>
      </c>
      <c r="F407" s="4" t="s">
        <v>9</v>
      </c>
      <c r="G407" s="4" t="s">
        <v>49</v>
      </c>
      <c r="H407" s="4" t="str">
        <f>PROPER(Shoe_Sales[[#This Row],[Brand]])</f>
        <v>Nike</v>
      </c>
      <c r="I407" s="4" t="s">
        <v>21</v>
      </c>
      <c r="J407" s="5">
        <v>9</v>
      </c>
      <c r="K407" s="4" t="s">
        <v>82</v>
      </c>
      <c r="L407" s="12">
        <f>VLOOKUP(Shoe_Sales[[#This Row],[Product Cleaned]],Price!$A$2:$C$9,2,FALSE)</f>
        <v>105</v>
      </c>
      <c r="M407" s="12">
        <f>VLOOKUP(Shoe_Sales[[#This Row],[Product Cleaned]],Price!$A$2:$C$9,3,0)</f>
        <v>58</v>
      </c>
      <c r="N407" s="12">
        <f>(Shoe_Sales[[#This Row],[Quantity]]*Shoe_Sales[[#This Row],[Selling Price]])</f>
        <v>945</v>
      </c>
      <c r="O407" s="12">
        <f>(Shoe_Sales[[#This Row],[Quantity]]*Shoe_Sales[[#This Row],[Cost Price]])</f>
        <v>522</v>
      </c>
      <c r="P407" s="12">
        <f>(Shoe_Sales[[#This Row],[Revenue]]-Shoe_Sales[[#This Row],[Cost]])</f>
        <v>423</v>
      </c>
      <c r="Q407" s="15">
        <f>(Shoe_Sales[[#This Row],[Profit]]/Shoe_Sales[[#This Row],[Revenue]])</f>
        <v>0.44761904761904764</v>
      </c>
    </row>
    <row r="408" spans="1:17" x14ac:dyDescent="0.25">
      <c r="A408" s="8">
        <v>46134</v>
      </c>
      <c r="B408" s="2" t="s">
        <v>74</v>
      </c>
      <c r="C408" s="2" t="str">
        <f t="shared" si="12"/>
        <v>Oxford</v>
      </c>
      <c r="D408" s="2" t="s">
        <v>28</v>
      </c>
      <c r="E408" s="2" t="str">
        <f t="shared" si="13"/>
        <v>Utility</v>
      </c>
      <c r="F408" s="2" t="s">
        <v>14</v>
      </c>
      <c r="G408" s="2" t="s">
        <v>73</v>
      </c>
      <c r="H408" s="2" t="str">
        <f>PROPER(Shoe_Sales[[#This Row],[Brand]])</f>
        <v>Timberland</v>
      </c>
      <c r="I408" s="2" t="s">
        <v>61</v>
      </c>
      <c r="J408" s="3">
        <v>6</v>
      </c>
      <c r="K408" s="2" t="s">
        <v>82</v>
      </c>
      <c r="L408" s="12">
        <f>VLOOKUP(Shoe_Sales[[#This Row],[Product Cleaned]],Price!$A$2:$C$9,2,FALSE)</f>
        <v>105</v>
      </c>
      <c r="M408" s="12">
        <f>VLOOKUP(Shoe_Sales[[#This Row],[Product Cleaned]],Price!$A$2:$C$9,3,0)</f>
        <v>58</v>
      </c>
      <c r="N408" s="12">
        <f>(Shoe_Sales[[#This Row],[Quantity]]*Shoe_Sales[[#This Row],[Selling Price]])</f>
        <v>630</v>
      </c>
      <c r="O408" s="12">
        <f>(Shoe_Sales[[#This Row],[Quantity]]*Shoe_Sales[[#This Row],[Cost Price]])</f>
        <v>348</v>
      </c>
      <c r="P408" s="12">
        <f>(Shoe_Sales[[#This Row],[Revenue]]-Shoe_Sales[[#This Row],[Cost]])</f>
        <v>282</v>
      </c>
      <c r="Q408" s="15">
        <f>(Shoe_Sales[[#This Row],[Profit]]/Shoe_Sales[[#This Row],[Revenue]])</f>
        <v>0.44761904761904764</v>
      </c>
    </row>
    <row r="409" spans="1:17" x14ac:dyDescent="0.25">
      <c r="A409" s="9">
        <v>46210</v>
      </c>
      <c r="B409" s="4" t="s">
        <v>62</v>
      </c>
      <c r="C409" s="2" t="str">
        <f t="shared" si="12"/>
        <v>Brogues</v>
      </c>
      <c r="D409" s="4" t="s">
        <v>28</v>
      </c>
      <c r="E409" s="2" t="str">
        <f t="shared" si="13"/>
        <v>Utility</v>
      </c>
      <c r="F409" s="4" t="s">
        <v>24</v>
      </c>
      <c r="G409" s="4" t="s">
        <v>30</v>
      </c>
      <c r="H409" s="4" t="str">
        <f>PROPER(Shoe_Sales[[#This Row],[Brand]])</f>
        <v>Timberland</v>
      </c>
      <c r="I409" s="4" t="s">
        <v>58</v>
      </c>
      <c r="J409" s="5">
        <v>12</v>
      </c>
      <c r="K409" s="4" t="s">
        <v>81</v>
      </c>
      <c r="L409" s="12">
        <f>VLOOKUP(Shoe_Sales[[#This Row],[Product Cleaned]],Price!$A$2:$C$9,2,FALSE)</f>
        <v>112</v>
      </c>
      <c r="M409" s="12">
        <f>VLOOKUP(Shoe_Sales[[#This Row],[Product Cleaned]],Price!$A$2:$C$9,3,0)</f>
        <v>64</v>
      </c>
      <c r="N409" s="12">
        <f>(Shoe_Sales[[#This Row],[Quantity]]*Shoe_Sales[[#This Row],[Selling Price]])</f>
        <v>1344</v>
      </c>
      <c r="O409" s="12">
        <f>(Shoe_Sales[[#This Row],[Quantity]]*Shoe_Sales[[#This Row],[Cost Price]])</f>
        <v>768</v>
      </c>
      <c r="P409" s="12">
        <f>(Shoe_Sales[[#This Row],[Revenue]]-Shoe_Sales[[#This Row],[Cost]])</f>
        <v>576</v>
      </c>
      <c r="Q409" s="15">
        <f>(Shoe_Sales[[#This Row],[Profit]]/Shoe_Sales[[#This Row],[Revenue]])</f>
        <v>0.42857142857142855</v>
      </c>
    </row>
    <row r="410" spans="1:17" x14ac:dyDescent="0.25">
      <c r="A410" s="8">
        <v>46099</v>
      </c>
      <c r="B410" s="2" t="s">
        <v>65</v>
      </c>
      <c r="C410" s="2" t="str">
        <f t="shared" si="12"/>
        <v>Canvas</v>
      </c>
      <c r="D410" s="2" t="s">
        <v>18</v>
      </c>
      <c r="E410" s="2" t="str">
        <f t="shared" si="13"/>
        <v>Open</v>
      </c>
      <c r="F410" s="2" t="s">
        <v>29</v>
      </c>
      <c r="G410" s="2" t="s">
        <v>20</v>
      </c>
      <c r="H410" s="2" t="str">
        <f>PROPER(Shoe_Sales[[#This Row],[Brand]])</f>
        <v>Nike</v>
      </c>
      <c r="I410" s="2" t="s">
        <v>54</v>
      </c>
      <c r="J410" s="3">
        <v>7</v>
      </c>
      <c r="K410" s="2" t="s">
        <v>79</v>
      </c>
      <c r="L410" s="12">
        <f>VLOOKUP(Shoe_Sales[[#This Row],[Product Cleaned]],Price!$A$2:$C$9,2,FALSE)</f>
        <v>128</v>
      </c>
      <c r="M410" s="12">
        <f>VLOOKUP(Shoe_Sales[[#This Row],[Product Cleaned]],Price!$A$2:$C$9,3,0)</f>
        <v>72</v>
      </c>
      <c r="N410" s="12">
        <f>(Shoe_Sales[[#This Row],[Quantity]]*Shoe_Sales[[#This Row],[Selling Price]])</f>
        <v>896</v>
      </c>
      <c r="O410" s="12">
        <f>(Shoe_Sales[[#This Row],[Quantity]]*Shoe_Sales[[#This Row],[Cost Price]])</f>
        <v>504</v>
      </c>
      <c r="P410" s="12">
        <f>(Shoe_Sales[[#This Row],[Revenue]]-Shoe_Sales[[#This Row],[Cost]])</f>
        <v>392</v>
      </c>
      <c r="Q410" s="15">
        <f>(Shoe_Sales[[#This Row],[Profit]]/Shoe_Sales[[#This Row],[Revenue]])</f>
        <v>0.4375</v>
      </c>
    </row>
    <row r="411" spans="1:17" x14ac:dyDescent="0.25">
      <c r="A411" s="9">
        <v>46134</v>
      </c>
      <c r="B411" s="4" t="s">
        <v>70</v>
      </c>
      <c r="C411" s="2" t="str">
        <f t="shared" si="12"/>
        <v>Loafers</v>
      </c>
      <c r="D411" s="4" t="s">
        <v>72</v>
      </c>
      <c r="E411" s="2" t="str">
        <f t="shared" si="13"/>
        <v>Utility</v>
      </c>
      <c r="F411" s="4" t="s">
        <v>24</v>
      </c>
      <c r="G411" s="4" t="s">
        <v>73</v>
      </c>
      <c r="H411" s="4" t="str">
        <f>PROPER(Shoe_Sales[[#This Row],[Brand]])</f>
        <v>Timberland</v>
      </c>
      <c r="I411" s="4" t="s">
        <v>16</v>
      </c>
      <c r="J411" s="5">
        <v>14</v>
      </c>
      <c r="K411" s="4" t="s">
        <v>82</v>
      </c>
      <c r="L411" s="12">
        <f>VLOOKUP(Shoe_Sales[[#This Row],[Product Cleaned]],Price!$A$2:$C$9,2,FALSE)</f>
        <v>54</v>
      </c>
      <c r="M411" s="12">
        <f>VLOOKUP(Shoe_Sales[[#This Row],[Product Cleaned]],Price!$A$2:$C$9,3,0)</f>
        <v>28</v>
      </c>
      <c r="N411" s="12">
        <f>(Shoe_Sales[[#This Row],[Quantity]]*Shoe_Sales[[#This Row],[Selling Price]])</f>
        <v>756</v>
      </c>
      <c r="O411" s="12">
        <f>(Shoe_Sales[[#This Row],[Quantity]]*Shoe_Sales[[#This Row],[Cost Price]])</f>
        <v>392</v>
      </c>
      <c r="P411" s="12">
        <f>(Shoe_Sales[[#This Row],[Revenue]]-Shoe_Sales[[#This Row],[Cost]])</f>
        <v>364</v>
      </c>
      <c r="Q411" s="15">
        <f>(Shoe_Sales[[#This Row],[Profit]]/Shoe_Sales[[#This Row],[Revenue]])</f>
        <v>0.48148148148148145</v>
      </c>
    </row>
    <row r="412" spans="1:17" x14ac:dyDescent="0.25">
      <c r="A412" s="8">
        <v>46159</v>
      </c>
      <c r="B412" s="2" t="s">
        <v>71</v>
      </c>
      <c r="C412" s="2" t="str">
        <f t="shared" si="12"/>
        <v>Boots</v>
      </c>
      <c r="D412" s="2" t="s">
        <v>68</v>
      </c>
      <c r="E412" s="2" t="str">
        <f t="shared" si="13"/>
        <v>Open</v>
      </c>
      <c r="F412" s="2" t="s">
        <v>24</v>
      </c>
      <c r="G412" s="2" t="s">
        <v>34</v>
      </c>
      <c r="H412" s="2" t="str">
        <f>PROPER(Shoe_Sales[[#This Row],[Brand]])</f>
        <v>Clarks</v>
      </c>
      <c r="I412" s="2" t="s">
        <v>61</v>
      </c>
      <c r="J412" s="3">
        <v>8</v>
      </c>
      <c r="K412" s="2" t="s">
        <v>82</v>
      </c>
      <c r="L412" s="12">
        <f>VLOOKUP(Shoe_Sales[[#This Row],[Product Cleaned]],Price!$A$2:$C$9,2,FALSE)</f>
        <v>76</v>
      </c>
      <c r="M412" s="12">
        <f>VLOOKUP(Shoe_Sales[[#This Row],[Product Cleaned]],Price!$A$2:$C$9,3,0)</f>
        <v>39</v>
      </c>
      <c r="N412" s="12">
        <f>(Shoe_Sales[[#This Row],[Quantity]]*Shoe_Sales[[#This Row],[Selling Price]])</f>
        <v>608</v>
      </c>
      <c r="O412" s="12">
        <f>(Shoe_Sales[[#This Row],[Quantity]]*Shoe_Sales[[#This Row],[Cost Price]])</f>
        <v>312</v>
      </c>
      <c r="P412" s="12">
        <f>(Shoe_Sales[[#This Row],[Revenue]]-Shoe_Sales[[#This Row],[Cost]])</f>
        <v>296</v>
      </c>
      <c r="Q412" s="15">
        <f>(Shoe_Sales[[#This Row],[Profit]]/Shoe_Sales[[#This Row],[Revenue]])</f>
        <v>0.48684210526315791</v>
      </c>
    </row>
    <row r="413" spans="1:17" x14ac:dyDescent="0.25">
      <c r="A413" s="9">
        <v>46067</v>
      </c>
      <c r="B413" s="4" t="s">
        <v>32</v>
      </c>
      <c r="C413" s="2" t="str">
        <f t="shared" si="12"/>
        <v>Oxford</v>
      </c>
      <c r="D413" s="4" t="s">
        <v>8</v>
      </c>
      <c r="E413" s="2" t="str">
        <f t="shared" si="13"/>
        <v>Formal</v>
      </c>
      <c r="F413" s="4" t="s">
        <v>19</v>
      </c>
      <c r="G413" s="4" t="s">
        <v>53</v>
      </c>
      <c r="H413" s="4" t="str">
        <f>PROPER(Shoe_Sales[[#This Row],[Brand]])</f>
        <v>Zara</v>
      </c>
      <c r="I413" s="4" t="s">
        <v>41</v>
      </c>
      <c r="J413" s="5">
        <v>3</v>
      </c>
      <c r="K413" s="4" t="s">
        <v>79</v>
      </c>
      <c r="L413" s="12">
        <f>VLOOKUP(Shoe_Sales[[#This Row],[Product Cleaned]],Price!$A$2:$C$9,2,FALSE)</f>
        <v>105</v>
      </c>
      <c r="M413" s="12">
        <f>VLOOKUP(Shoe_Sales[[#This Row],[Product Cleaned]],Price!$A$2:$C$9,3,0)</f>
        <v>58</v>
      </c>
      <c r="N413" s="12">
        <f>(Shoe_Sales[[#This Row],[Quantity]]*Shoe_Sales[[#This Row],[Selling Price]])</f>
        <v>315</v>
      </c>
      <c r="O413" s="12">
        <f>(Shoe_Sales[[#This Row],[Quantity]]*Shoe_Sales[[#This Row],[Cost Price]])</f>
        <v>174</v>
      </c>
      <c r="P413" s="12">
        <f>(Shoe_Sales[[#This Row],[Revenue]]-Shoe_Sales[[#This Row],[Cost]])</f>
        <v>141</v>
      </c>
      <c r="Q413" s="15">
        <f>(Shoe_Sales[[#This Row],[Profit]]/Shoe_Sales[[#This Row],[Revenue]])</f>
        <v>0.44761904761904764</v>
      </c>
    </row>
    <row r="414" spans="1:17" x14ac:dyDescent="0.25">
      <c r="A414" s="8">
        <v>46213</v>
      </c>
      <c r="B414" s="2" t="s">
        <v>27</v>
      </c>
      <c r="C414" s="2" t="str">
        <f t="shared" si="12"/>
        <v>Boots</v>
      </c>
      <c r="D414" s="2" t="s">
        <v>39</v>
      </c>
      <c r="E414" s="2" t="str">
        <f t="shared" si="13"/>
        <v>Formal</v>
      </c>
      <c r="F414" s="2" t="s">
        <v>19</v>
      </c>
      <c r="G414" s="2" t="s">
        <v>25</v>
      </c>
      <c r="H414" s="2" t="str">
        <f>PROPER(Shoe_Sales[[#This Row],[Brand]])</f>
        <v>Zara</v>
      </c>
      <c r="I414" s="2" t="s">
        <v>50</v>
      </c>
      <c r="J414" s="3">
        <v>15</v>
      </c>
      <c r="K414" s="2" t="s">
        <v>82</v>
      </c>
      <c r="L414" s="12">
        <f>VLOOKUP(Shoe_Sales[[#This Row],[Product Cleaned]],Price!$A$2:$C$9,2,FALSE)</f>
        <v>76</v>
      </c>
      <c r="M414" s="12">
        <f>VLOOKUP(Shoe_Sales[[#This Row],[Product Cleaned]],Price!$A$2:$C$9,3,0)</f>
        <v>39</v>
      </c>
      <c r="N414" s="12">
        <f>(Shoe_Sales[[#This Row],[Quantity]]*Shoe_Sales[[#This Row],[Selling Price]])</f>
        <v>1140</v>
      </c>
      <c r="O414" s="12">
        <f>(Shoe_Sales[[#This Row],[Quantity]]*Shoe_Sales[[#This Row],[Cost Price]])</f>
        <v>585</v>
      </c>
      <c r="P414" s="12">
        <f>(Shoe_Sales[[#This Row],[Revenue]]-Shoe_Sales[[#This Row],[Cost]])</f>
        <v>555</v>
      </c>
      <c r="Q414" s="15">
        <f>(Shoe_Sales[[#This Row],[Profit]]/Shoe_Sales[[#This Row],[Revenue]])</f>
        <v>0.48684210526315791</v>
      </c>
    </row>
    <row r="415" spans="1:17" x14ac:dyDescent="0.25">
      <c r="A415" s="9">
        <v>46110</v>
      </c>
      <c r="B415" s="4" t="s">
        <v>59</v>
      </c>
      <c r="C415" s="2" t="str">
        <f t="shared" si="12"/>
        <v>Oxford</v>
      </c>
      <c r="D415" s="4" t="s">
        <v>72</v>
      </c>
      <c r="E415" s="2" t="str">
        <f t="shared" si="13"/>
        <v>Utility</v>
      </c>
      <c r="F415" s="4" t="s">
        <v>14</v>
      </c>
      <c r="G415" s="4" t="s">
        <v>45</v>
      </c>
      <c r="H415" s="4" t="str">
        <f>PROPER(Shoe_Sales[[#This Row],[Brand]])</f>
        <v>Steve Madden</v>
      </c>
      <c r="I415" s="4" t="s">
        <v>21</v>
      </c>
      <c r="J415" s="5">
        <v>5</v>
      </c>
      <c r="K415" s="4" t="s">
        <v>80</v>
      </c>
      <c r="L415" s="12">
        <f>VLOOKUP(Shoe_Sales[[#This Row],[Product Cleaned]],Price!$A$2:$C$9,2,FALSE)</f>
        <v>105</v>
      </c>
      <c r="M415" s="12">
        <f>VLOOKUP(Shoe_Sales[[#This Row],[Product Cleaned]],Price!$A$2:$C$9,3,0)</f>
        <v>58</v>
      </c>
      <c r="N415" s="12">
        <f>(Shoe_Sales[[#This Row],[Quantity]]*Shoe_Sales[[#This Row],[Selling Price]])</f>
        <v>525</v>
      </c>
      <c r="O415" s="12">
        <f>(Shoe_Sales[[#This Row],[Quantity]]*Shoe_Sales[[#This Row],[Cost Price]])</f>
        <v>290</v>
      </c>
      <c r="P415" s="12">
        <f>(Shoe_Sales[[#This Row],[Revenue]]-Shoe_Sales[[#This Row],[Cost]])</f>
        <v>235</v>
      </c>
      <c r="Q415" s="15">
        <f>(Shoe_Sales[[#This Row],[Profit]]/Shoe_Sales[[#This Row],[Revenue]])</f>
        <v>0.44761904761904764</v>
      </c>
    </row>
    <row r="416" spans="1:17" x14ac:dyDescent="0.25">
      <c r="A416" s="8">
        <v>46148</v>
      </c>
      <c r="B416" s="2" t="s">
        <v>59</v>
      </c>
      <c r="C416" s="2" t="str">
        <f t="shared" si="12"/>
        <v>Oxford</v>
      </c>
      <c r="D416" s="2" t="s">
        <v>56</v>
      </c>
      <c r="E416" s="2" t="str">
        <f t="shared" si="13"/>
        <v>Utility</v>
      </c>
      <c r="F416" s="2" t="s">
        <v>29</v>
      </c>
      <c r="G416" s="2" t="s">
        <v>10</v>
      </c>
      <c r="H416" s="2" t="str">
        <f>PROPER(Shoe_Sales[[#This Row],[Brand]])</f>
        <v>Clarks</v>
      </c>
      <c r="I416" s="2" t="s">
        <v>26</v>
      </c>
      <c r="J416" s="3">
        <v>2</v>
      </c>
      <c r="K416" s="2" t="s">
        <v>80</v>
      </c>
      <c r="L416" s="12">
        <f>VLOOKUP(Shoe_Sales[[#This Row],[Product Cleaned]],Price!$A$2:$C$9,2,FALSE)</f>
        <v>105</v>
      </c>
      <c r="M416" s="12">
        <f>VLOOKUP(Shoe_Sales[[#This Row],[Product Cleaned]],Price!$A$2:$C$9,3,0)</f>
        <v>58</v>
      </c>
      <c r="N416" s="12">
        <f>(Shoe_Sales[[#This Row],[Quantity]]*Shoe_Sales[[#This Row],[Selling Price]])</f>
        <v>210</v>
      </c>
      <c r="O416" s="12">
        <f>(Shoe_Sales[[#This Row],[Quantity]]*Shoe_Sales[[#This Row],[Cost Price]])</f>
        <v>116</v>
      </c>
      <c r="P416" s="12">
        <f>(Shoe_Sales[[#This Row],[Revenue]]-Shoe_Sales[[#This Row],[Cost]])</f>
        <v>94</v>
      </c>
      <c r="Q416" s="15">
        <f>(Shoe_Sales[[#This Row],[Profit]]/Shoe_Sales[[#This Row],[Revenue]])</f>
        <v>0.44761904761904764</v>
      </c>
    </row>
    <row r="417" spans="1:17" x14ac:dyDescent="0.25">
      <c r="A417" s="9">
        <v>46134</v>
      </c>
      <c r="B417" s="4" t="s">
        <v>65</v>
      </c>
      <c r="C417" s="2" t="str">
        <f t="shared" si="12"/>
        <v>Canvas</v>
      </c>
      <c r="D417" s="4" t="s">
        <v>52</v>
      </c>
      <c r="E417" s="2" t="str">
        <f t="shared" si="13"/>
        <v>Casual</v>
      </c>
      <c r="F417" s="4" t="s">
        <v>9</v>
      </c>
      <c r="G417" s="4" t="s">
        <v>53</v>
      </c>
      <c r="H417" s="4" t="str">
        <f>PROPER(Shoe_Sales[[#This Row],[Brand]])</f>
        <v>Zara</v>
      </c>
      <c r="I417" s="4" t="s">
        <v>54</v>
      </c>
      <c r="J417" s="5">
        <v>14</v>
      </c>
      <c r="K417" s="4" t="s">
        <v>81</v>
      </c>
      <c r="L417" s="12">
        <f>VLOOKUP(Shoe_Sales[[#This Row],[Product Cleaned]],Price!$A$2:$C$9,2,FALSE)</f>
        <v>128</v>
      </c>
      <c r="M417" s="12">
        <f>VLOOKUP(Shoe_Sales[[#This Row],[Product Cleaned]],Price!$A$2:$C$9,3,0)</f>
        <v>72</v>
      </c>
      <c r="N417" s="12">
        <f>(Shoe_Sales[[#This Row],[Quantity]]*Shoe_Sales[[#This Row],[Selling Price]])</f>
        <v>1792</v>
      </c>
      <c r="O417" s="12">
        <f>(Shoe_Sales[[#This Row],[Quantity]]*Shoe_Sales[[#This Row],[Cost Price]])</f>
        <v>1008</v>
      </c>
      <c r="P417" s="12">
        <f>(Shoe_Sales[[#This Row],[Revenue]]-Shoe_Sales[[#This Row],[Cost]])</f>
        <v>784</v>
      </c>
      <c r="Q417" s="15">
        <f>(Shoe_Sales[[#This Row],[Profit]]/Shoe_Sales[[#This Row],[Revenue]])</f>
        <v>0.4375</v>
      </c>
    </row>
    <row r="418" spans="1:17" x14ac:dyDescent="0.25">
      <c r="A418" s="8">
        <v>46077</v>
      </c>
      <c r="B418" s="2" t="s">
        <v>44</v>
      </c>
      <c r="C418" s="2" t="str">
        <f t="shared" si="12"/>
        <v>Canvas</v>
      </c>
      <c r="D418" s="2" t="s">
        <v>39</v>
      </c>
      <c r="E418" s="2" t="str">
        <f t="shared" si="13"/>
        <v>Formal</v>
      </c>
      <c r="F418" s="2" t="s">
        <v>14</v>
      </c>
      <c r="G418" s="2" t="s">
        <v>57</v>
      </c>
      <c r="H418" s="2" t="str">
        <f>PROPER(Shoe_Sales[[#This Row],[Brand]])</f>
        <v>Timberland</v>
      </c>
      <c r="I418" s="2" t="s">
        <v>11</v>
      </c>
      <c r="J418" s="3">
        <v>5</v>
      </c>
      <c r="K418" s="2" t="s">
        <v>79</v>
      </c>
      <c r="L418" s="12">
        <f>VLOOKUP(Shoe_Sales[[#This Row],[Product Cleaned]],Price!$A$2:$C$9,2,FALSE)</f>
        <v>128</v>
      </c>
      <c r="M418" s="12">
        <f>VLOOKUP(Shoe_Sales[[#This Row],[Product Cleaned]],Price!$A$2:$C$9,3,0)</f>
        <v>72</v>
      </c>
      <c r="N418" s="12">
        <f>(Shoe_Sales[[#This Row],[Quantity]]*Shoe_Sales[[#This Row],[Selling Price]])</f>
        <v>640</v>
      </c>
      <c r="O418" s="12">
        <f>(Shoe_Sales[[#This Row],[Quantity]]*Shoe_Sales[[#This Row],[Cost Price]])</f>
        <v>360</v>
      </c>
      <c r="P418" s="12">
        <f>(Shoe_Sales[[#This Row],[Revenue]]-Shoe_Sales[[#This Row],[Cost]])</f>
        <v>280</v>
      </c>
      <c r="Q418" s="15">
        <f>(Shoe_Sales[[#This Row],[Profit]]/Shoe_Sales[[#This Row],[Revenue]])</f>
        <v>0.4375</v>
      </c>
    </row>
    <row r="419" spans="1:17" x14ac:dyDescent="0.25">
      <c r="A419" s="9">
        <v>46155</v>
      </c>
      <c r="B419" s="4" t="s">
        <v>36</v>
      </c>
      <c r="C419" s="2" t="str">
        <f t="shared" si="12"/>
        <v>Brogues</v>
      </c>
      <c r="D419" s="4" t="s">
        <v>33</v>
      </c>
      <c r="E419" s="2" t="str">
        <f t="shared" si="13"/>
        <v>Formal</v>
      </c>
      <c r="F419" s="4" t="s">
        <v>24</v>
      </c>
      <c r="G419" s="4" t="s">
        <v>10</v>
      </c>
      <c r="H419" s="4" t="str">
        <f>PROPER(Shoe_Sales[[#This Row],[Brand]])</f>
        <v>Clarks</v>
      </c>
      <c r="I419" s="4" t="s">
        <v>37</v>
      </c>
      <c r="J419" s="5">
        <v>13</v>
      </c>
      <c r="K419" s="4" t="s">
        <v>82</v>
      </c>
      <c r="L419" s="12">
        <f>VLOOKUP(Shoe_Sales[[#This Row],[Product Cleaned]],Price!$A$2:$C$9,2,FALSE)</f>
        <v>112</v>
      </c>
      <c r="M419" s="12">
        <f>VLOOKUP(Shoe_Sales[[#This Row],[Product Cleaned]],Price!$A$2:$C$9,3,0)</f>
        <v>64</v>
      </c>
      <c r="N419" s="12">
        <f>(Shoe_Sales[[#This Row],[Quantity]]*Shoe_Sales[[#This Row],[Selling Price]])</f>
        <v>1456</v>
      </c>
      <c r="O419" s="12">
        <f>(Shoe_Sales[[#This Row],[Quantity]]*Shoe_Sales[[#This Row],[Cost Price]])</f>
        <v>832</v>
      </c>
      <c r="P419" s="12">
        <f>(Shoe_Sales[[#This Row],[Revenue]]-Shoe_Sales[[#This Row],[Cost]])</f>
        <v>624</v>
      </c>
      <c r="Q419" s="15">
        <f>(Shoe_Sales[[#This Row],[Profit]]/Shoe_Sales[[#This Row],[Revenue]])</f>
        <v>0.42857142857142855</v>
      </c>
    </row>
    <row r="420" spans="1:17" x14ac:dyDescent="0.25">
      <c r="A420" s="8">
        <v>46172</v>
      </c>
      <c r="B420" s="2" t="s">
        <v>12</v>
      </c>
      <c r="C420" s="2" t="str">
        <f t="shared" si="12"/>
        <v>Canvas</v>
      </c>
      <c r="D420" s="2" t="s">
        <v>39</v>
      </c>
      <c r="E420" s="2" t="str">
        <f t="shared" si="13"/>
        <v>Formal</v>
      </c>
      <c r="F420" s="2" t="s">
        <v>29</v>
      </c>
      <c r="G420" s="2" t="s">
        <v>30</v>
      </c>
      <c r="H420" s="2" t="str">
        <f>PROPER(Shoe_Sales[[#This Row],[Brand]])</f>
        <v>Timberland</v>
      </c>
      <c r="I420" s="2" t="s">
        <v>26</v>
      </c>
      <c r="J420" s="3">
        <v>3</v>
      </c>
      <c r="K420" s="2" t="s">
        <v>79</v>
      </c>
      <c r="L420" s="12">
        <f>VLOOKUP(Shoe_Sales[[#This Row],[Product Cleaned]],Price!$A$2:$C$9,2,FALSE)</f>
        <v>128</v>
      </c>
      <c r="M420" s="12">
        <f>VLOOKUP(Shoe_Sales[[#This Row],[Product Cleaned]],Price!$A$2:$C$9,3,0)</f>
        <v>72</v>
      </c>
      <c r="N420" s="12">
        <f>(Shoe_Sales[[#This Row],[Quantity]]*Shoe_Sales[[#This Row],[Selling Price]])</f>
        <v>384</v>
      </c>
      <c r="O420" s="12">
        <f>(Shoe_Sales[[#This Row],[Quantity]]*Shoe_Sales[[#This Row],[Cost Price]])</f>
        <v>216</v>
      </c>
      <c r="P420" s="12">
        <f>(Shoe_Sales[[#This Row],[Revenue]]-Shoe_Sales[[#This Row],[Cost]])</f>
        <v>168</v>
      </c>
      <c r="Q420" s="15">
        <f>(Shoe_Sales[[#This Row],[Profit]]/Shoe_Sales[[#This Row],[Revenue]])</f>
        <v>0.4375</v>
      </c>
    </row>
    <row r="421" spans="1:17" x14ac:dyDescent="0.25">
      <c r="A421" s="9">
        <v>46087</v>
      </c>
      <c r="B421" s="4" t="s">
        <v>17</v>
      </c>
      <c r="C421" s="2" t="str">
        <f t="shared" si="12"/>
        <v>Slippers</v>
      </c>
      <c r="D421" s="4" t="s">
        <v>39</v>
      </c>
      <c r="E421" s="2" t="str">
        <f t="shared" si="13"/>
        <v>Formal</v>
      </c>
      <c r="F421" s="4" t="s">
        <v>29</v>
      </c>
      <c r="G421" s="4" t="s">
        <v>34</v>
      </c>
      <c r="H421" s="4" t="str">
        <f>PROPER(Shoe_Sales[[#This Row],[Brand]])</f>
        <v>Clarks</v>
      </c>
      <c r="I421" s="4" t="s">
        <v>43</v>
      </c>
      <c r="J421" s="5">
        <v>8</v>
      </c>
      <c r="K421" s="4" t="s">
        <v>80</v>
      </c>
      <c r="L421" s="12">
        <f>VLOOKUP(Shoe_Sales[[#This Row],[Product Cleaned]],Price!$A$2:$C$9,2,FALSE)</f>
        <v>119</v>
      </c>
      <c r="M421" s="12">
        <f>VLOOKUP(Shoe_Sales[[#This Row],[Product Cleaned]],Price!$A$2:$C$9,3,0)</f>
        <v>67</v>
      </c>
      <c r="N421" s="12">
        <f>(Shoe_Sales[[#This Row],[Quantity]]*Shoe_Sales[[#This Row],[Selling Price]])</f>
        <v>952</v>
      </c>
      <c r="O421" s="12">
        <f>(Shoe_Sales[[#This Row],[Quantity]]*Shoe_Sales[[#This Row],[Cost Price]])</f>
        <v>536</v>
      </c>
      <c r="P421" s="12">
        <f>(Shoe_Sales[[#This Row],[Revenue]]-Shoe_Sales[[#This Row],[Cost]])</f>
        <v>416</v>
      </c>
      <c r="Q421" s="15">
        <f>(Shoe_Sales[[#This Row],[Profit]]/Shoe_Sales[[#This Row],[Revenue]])</f>
        <v>0.43697478991596639</v>
      </c>
    </row>
    <row r="422" spans="1:17" x14ac:dyDescent="0.25">
      <c r="A422" s="8">
        <v>46235</v>
      </c>
      <c r="B422" s="2" t="s">
        <v>67</v>
      </c>
      <c r="C422" s="2" t="str">
        <f t="shared" si="12"/>
        <v>Slippers</v>
      </c>
      <c r="D422" s="2" t="s">
        <v>28</v>
      </c>
      <c r="E422" s="2" t="str">
        <f t="shared" si="13"/>
        <v>Utility</v>
      </c>
      <c r="F422" s="2" t="s">
        <v>19</v>
      </c>
      <c r="G422" s="2" t="s">
        <v>34</v>
      </c>
      <c r="H422" s="2" t="str">
        <f>PROPER(Shoe_Sales[[#This Row],[Brand]])</f>
        <v>Clarks</v>
      </c>
      <c r="I422" s="2" t="s">
        <v>43</v>
      </c>
      <c r="J422" s="3">
        <v>1</v>
      </c>
      <c r="K422" s="2" t="s">
        <v>82</v>
      </c>
      <c r="L422" s="12">
        <f>VLOOKUP(Shoe_Sales[[#This Row],[Product Cleaned]],Price!$A$2:$C$9,2,FALSE)</f>
        <v>119</v>
      </c>
      <c r="M422" s="12">
        <f>VLOOKUP(Shoe_Sales[[#This Row],[Product Cleaned]],Price!$A$2:$C$9,3,0)</f>
        <v>67</v>
      </c>
      <c r="N422" s="12">
        <f>(Shoe_Sales[[#This Row],[Quantity]]*Shoe_Sales[[#This Row],[Selling Price]])</f>
        <v>119</v>
      </c>
      <c r="O422" s="12">
        <f>(Shoe_Sales[[#This Row],[Quantity]]*Shoe_Sales[[#This Row],[Cost Price]])</f>
        <v>67</v>
      </c>
      <c r="P422" s="12">
        <f>(Shoe_Sales[[#This Row],[Revenue]]-Shoe_Sales[[#This Row],[Cost]])</f>
        <v>52</v>
      </c>
      <c r="Q422" s="15">
        <f>(Shoe_Sales[[#This Row],[Profit]]/Shoe_Sales[[#This Row],[Revenue]])</f>
        <v>0.43697478991596639</v>
      </c>
    </row>
    <row r="423" spans="1:17" x14ac:dyDescent="0.25">
      <c r="A423" s="9">
        <v>46052</v>
      </c>
      <c r="B423" s="4" t="s">
        <v>7</v>
      </c>
      <c r="C423" s="2" t="str">
        <f t="shared" si="12"/>
        <v>Derby</v>
      </c>
      <c r="D423" s="4" t="s">
        <v>52</v>
      </c>
      <c r="E423" s="2" t="str">
        <f t="shared" si="13"/>
        <v>Casual</v>
      </c>
      <c r="F423" s="4" t="s">
        <v>24</v>
      </c>
      <c r="G423" s="4" t="s">
        <v>15</v>
      </c>
      <c r="H423" s="4" t="str">
        <f>PROPER(Shoe_Sales[[#This Row],[Brand]])</f>
        <v>Steve Madden</v>
      </c>
      <c r="I423" s="4" t="s">
        <v>26</v>
      </c>
      <c r="J423" s="5">
        <v>5</v>
      </c>
      <c r="K423" s="4" t="s">
        <v>81</v>
      </c>
      <c r="L423" s="12">
        <f>VLOOKUP(Shoe_Sales[[#This Row],[Product Cleaned]],Price!$A$2:$C$9,2,FALSE)</f>
        <v>32</v>
      </c>
      <c r="M423" s="12">
        <f>VLOOKUP(Shoe_Sales[[#This Row],[Product Cleaned]],Price!$A$2:$C$9,3,0)</f>
        <v>14</v>
      </c>
      <c r="N423" s="12">
        <f>(Shoe_Sales[[#This Row],[Quantity]]*Shoe_Sales[[#This Row],[Selling Price]])</f>
        <v>160</v>
      </c>
      <c r="O423" s="12">
        <f>(Shoe_Sales[[#This Row],[Quantity]]*Shoe_Sales[[#This Row],[Cost Price]])</f>
        <v>70</v>
      </c>
      <c r="P423" s="12">
        <f>(Shoe_Sales[[#This Row],[Revenue]]-Shoe_Sales[[#This Row],[Cost]])</f>
        <v>90</v>
      </c>
      <c r="Q423" s="15">
        <f>(Shoe_Sales[[#This Row],[Profit]]/Shoe_Sales[[#This Row],[Revenue]])</f>
        <v>0.5625</v>
      </c>
    </row>
    <row r="424" spans="1:17" x14ac:dyDescent="0.25">
      <c r="A424" s="8">
        <v>46208</v>
      </c>
      <c r="B424" s="2" t="s">
        <v>17</v>
      </c>
      <c r="C424" s="2" t="str">
        <f t="shared" si="12"/>
        <v>Slippers</v>
      </c>
      <c r="D424" s="2" t="s">
        <v>13</v>
      </c>
      <c r="E424" s="2" t="str">
        <f t="shared" si="13"/>
        <v>Casual</v>
      </c>
      <c r="F424" s="2" t="s">
        <v>29</v>
      </c>
      <c r="G424" s="2" t="s">
        <v>25</v>
      </c>
      <c r="H424" s="2" t="str">
        <f>PROPER(Shoe_Sales[[#This Row],[Brand]])</f>
        <v>Zara</v>
      </c>
      <c r="I424" s="2" t="s">
        <v>37</v>
      </c>
      <c r="J424" s="3">
        <v>8</v>
      </c>
      <c r="K424" s="2" t="s">
        <v>79</v>
      </c>
      <c r="L424" s="12">
        <f>VLOOKUP(Shoe_Sales[[#This Row],[Product Cleaned]],Price!$A$2:$C$9,2,FALSE)</f>
        <v>119</v>
      </c>
      <c r="M424" s="12">
        <f>VLOOKUP(Shoe_Sales[[#This Row],[Product Cleaned]],Price!$A$2:$C$9,3,0)</f>
        <v>67</v>
      </c>
      <c r="N424" s="12">
        <f>(Shoe_Sales[[#This Row],[Quantity]]*Shoe_Sales[[#This Row],[Selling Price]])</f>
        <v>952</v>
      </c>
      <c r="O424" s="12">
        <f>(Shoe_Sales[[#This Row],[Quantity]]*Shoe_Sales[[#This Row],[Cost Price]])</f>
        <v>536</v>
      </c>
      <c r="P424" s="12">
        <f>(Shoe_Sales[[#This Row],[Revenue]]-Shoe_Sales[[#This Row],[Cost]])</f>
        <v>416</v>
      </c>
      <c r="Q424" s="15">
        <f>(Shoe_Sales[[#This Row],[Profit]]/Shoe_Sales[[#This Row],[Revenue]])</f>
        <v>0.43697478991596639</v>
      </c>
    </row>
    <row r="425" spans="1:17" x14ac:dyDescent="0.25">
      <c r="A425" s="9">
        <v>46134</v>
      </c>
      <c r="B425" s="4" t="s">
        <v>7</v>
      </c>
      <c r="C425" s="2" t="str">
        <f t="shared" si="12"/>
        <v>Derby</v>
      </c>
      <c r="D425" s="4" t="s">
        <v>33</v>
      </c>
      <c r="E425" s="2" t="str">
        <f t="shared" si="13"/>
        <v>Formal</v>
      </c>
      <c r="F425" s="4" t="s">
        <v>24</v>
      </c>
      <c r="G425" s="4" t="s">
        <v>45</v>
      </c>
      <c r="H425" s="4" t="str">
        <f>PROPER(Shoe_Sales[[#This Row],[Brand]])</f>
        <v>Steve Madden</v>
      </c>
      <c r="I425" s="4" t="s">
        <v>31</v>
      </c>
      <c r="J425" s="5">
        <v>4</v>
      </c>
      <c r="K425" s="4" t="s">
        <v>80</v>
      </c>
      <c r="L425" s="12">
        <f>VLOOKUP(Shoe_Sales[[#This Row],[Product Cleaned]],Price!$A$2:$C$9,2,FALSE)</f>
        <v>32</v>
      </c>
      <c r="M425" s="12">
        <f>VLOOKUP(Shoe_Sales[[#This Row],[Product Cleaned]],Price!$A$2:$C$9,3,0)</f>
        <v>14</v>
      </c>
      <c r="N425" s="12">
        <f>(Shoe_Sales[[#This Row],[Quantity]]*Shoe_Sales[[#This Row],[Selling Price]])</f>
        <v>128</v>
      </c>
      <c r="O425" s="12">
        <f>(Shoe_Sales[[#This Row],[Quantity]]*Shoe_Sales[[#This Row],[Cost Price]])</f>
        <v>56</v>
      </c>
      <c r="P425" s="12">
        <f>(Shoe_Sales[[#This Row],[Revenue]]-Shoe_Sales[[#This Row],[Cost]])</f>
        <v>72</v>
      </c>
      <c r="Q425" s="15">
        <f>(Shoe_Sales[[#This Row],[Profit]]/Shoe_Sales[[#This Row],[Revenue]])</f>
        <v>0.5625</v>
      </c>
    </row>
    <row r="426" spans="1:17" x14ac:dyDescent="0.25">
      <c r="A426" s="8">
        <v>46202</v>
      </c>
      <c r="B426" s="2" t="s">
        <v>38</v>
      </c>
      <c r="C426" s="2" t="str">
        <f t="shared" si="12"/>
        <v>Monk Straps</v>
      </c>
      <c r="D426" s="2" t="s">
        <v>13</v>
      </c>
      <c r="E426" s="2" t="str">
        <f t="shared" si="13"/>
        <v>Casual</v>
      </c>
      <c r="F426" s="2" t="s">
        <v>24</v>
      </c>
      <c r="G426" s="2" t="s">
        <v>10</v>
      </c>
      <c r="H426" s="2" t="str">
        <f>PROPER(Shoe_Sales[[#This Row],[Brand]])</f>
        <v>Clarks</v>
      </c>
      <c r="I426" s="2" t="s">
        <v>26</v>
      </c>
      <c r="J426" s="3">
        <v>4</v>
      </c>
      <c r="K426" s="2" t="s">
        <v>80</v>
      </c>
      <c r="L426" s="12">
        <f>VLOOKUP(Shoe_Sales[[#This Row],[Product Cleaned]],Price!$A$2:$C$9,2,FALSE)</f>
        <v>89</v>
      </c>
      <c r="M426" s="12">
        <f>VLOOKUP(Shoe_Sales[[#This Row],[Product Cleaned]],Price!$A$2:$C$9,3,0)</f>
        <v>47</v>
      </c>
      <c r="N426" s="12">
        <f>(Shoe_Sales[[#This Row],[Quantity]]*Shoe_Sales[[#This Row],[Selling Price]])</f>
        <v>356</v>
      </c>
      <c r="O426" s="12">
        <f>(Shoe_Sales[[#This Row],[Quantity]]*Shoe_Sales[[#This Row],[Cost Price]])</f>
        <v>188</v>
      </c>
      <c r="P426" s="12">
        <f>(Shoe_Sales[[#This Row],[Revenue]]-Shoe_Sales[[#This Row],[Cost]])</f>
        <v>168</v>
      </c>
      <c r="Q426" s="15">
        <f>(Shoe_Sales[[#This Row],[Profit]]/Shoe_Sales[[#This Row],[Revenue]])</f>
        <v>0.47191011235955055</v>
      </c>
    </row>
    <row r="427" spans="1:17" x14ac:dyDescent="0.25">
      <c r="A427" s="9">
        <v>46154</v>
      </c>
      <c r="B427" s="4" t="s">
        <v>62</v>
      </c>
      <c r="C427" s="2" t="str">
        <f t="shared" si="12"/>
        <v>Brogues</v>
      </c>
      <c r="D427" s="4" t="s">
        <v>52</v>
      </c>
      <c r="E427" s="2" t="str">
        <f t="shared" si="13"/>
        <v>Casual</v>
      </c>
      <c r="F427" s="4" t="s">
        <v>9</v>
      </c>
      <c r="G427" s="4" t="s">
        <v>45</v>
      </c>
      <c r="H427" s="4" t="str">
        <f>PROPER(Shoe_Sales[[#This Row],[Brand]])</f>
        <v>Steve Madden</v>
      </c>
      <c r="I427" s="4" t="s">
        <v>61</v>
      </c>
      <c r="J427" s="5">
        <v>10</v>
      </c>
      <c r="K427" s="4" t="s">
        <v>80</v>
      </c>
      <c r="L427" s="12">
        <f>VLOOKUP(Shoe_Sales[[#This Row],[Product Cleaned]],Price!$A$2:$C$9,2,FALSE)</f>
        <v>112</v>
      </c>
      <c r="M427" s="12">
        <f>VLOOKUP(Shoe_Sales[[#This Row],[Product Cleaned]],Price!$A$2:$C$9,3,0)</f>
        <v>64</v>
      </c>
      <c r="N427" s="12">
        <f>(Shoe_Sales[[#This Row],[Quantity]]*Shoe_Sales[[#This Row],[Selling Price]])</f>
        <v>1120</v>
      </c>
      <c r="O427" s="12">
        <f>(Shoe_Sales[[#This Row],[Quantity]]*Shoe_Sales[[#This Row],[Cost Price]])</f>
        <v>640</v>
      </c>
      <c r="P427" s="12">
        <f>(Shoe_Sales[[#This Row],[Revenue]]-Shoe_Sales[[#This Row],[Cost]])</f>
        <v>480</v>
      </c>
      <c r="Q427" s="15">
        <f>(Shoe_Sales[[#This Row],[Profit]]/Shoe_Sales[[#This Row],[Revenue]])</f>
        <v>0.42857142857142855</v>
      </c>
    </row>
    <row r="428" spans="1:17" x14ac:dyDescent="0.25">
      <c r="A428" s="8">
        <v>46062</v>
      </c>
      <c r="B428" s="2" t="s">
        <v>62</v>
      </c>
      <c r="C428" s="2" t="str">
        <f t="shared" si="12"/>
        <v>Brogues</v>
      </c>
      <c r="D428" s="2" t="s">
        <v>39</v>
      </c>
      <c r="E428" s="2" t="str">
        <f t="shared" si="13"/>
        <v>Formal</v>
      </c>
      <c r="F428" s="2" t="s">
        <v>19</v>
      </c>
      <c r="G428" s="2" t="s">
        <v>25</v>
      </c>
      <c r="H428" s="2" t="str">
        <f>PROPER(Shoe_Sales[[#This Row],[Brand]])</f>
        <v>Zara</v>
      </c>
      <c r="I428" s="2" t="s">
        <v>16</v>
      </c>
      <c r="J428" s="3">
        <v>8</v>
      </c>
      <c r="K428" s="2" t="s">
        <v>81</v>
      </c>
      <c r="L428" s="12">
        <f>VLOOKUP(Shoe_Sales[[#This Row],[Product Cleaned]],Price!$A$2:$C$9,2,FALSE)</f>
        <v>112</v>
      </c>
      <c r="M428" s="12">
        <f>VLOOKUP(Shoe_Sales[[#This Row],[Product Cleaned]],Price!$A$2:$C$9,3,0)</f>
        <v>64</v>
      </c>
      <c r="N428" s="12">
        <f>(Shoe_Sales[[#This Row],[Quantity]]*Shoe_Sales[[#This Row],[Selling Price]])</f>
        <v>896</v>
      </c>
      <c r="O428" s="12">
        <f>(Shoe_Sales[[#This Row],[Quantity]]*Shoe_Sales[[#This Row],[Cost Price]])</f>
        <v>512</v>
      </c>
      <c r="P428" s="12">
        <f>(Shoe_Sales[[#This Row],[Revenue]]-Shoe_Sales[[#This Row],[Cost]])</f>
        <v>384</v>
      </c>
      <c r="Q428" s="15">
        <f>(Shoe_Sales[[#This Row],[Profit]]/Shoe_Sales[[#This Row],[Revenue]])</f>
        <v>0.42857142857142855</v>
      </c>
    </row>
    <row r="429" spans="1:17" x14ac:dyDescent="0.25">
      <c r="A429" s="9">
        <v>46108</v>
      </c>
      <c r="B429" s="4" t="s">
        <v>38</v>
      </c>
      <c r="C429" s="2" t="str">
        <f t="shared" si="12"/>
        <v>Monk Straps</v>
      </c>
      <c r="D429" s="4" t="s">
        <v>23</v>
      </c>
      <c r="E429" s="2" t="str">
        <f t="shared" si="13"/>
        <v>Casual</v>
      </c>
      <c r="F429" s="4" t="s">
        <v>29</v>
      </c>
      <c r="G429" s="4" t="s">
        <v>20</v>
      </c>
      <c r="H429" s="4" t="str">
        <f>PROPER(Shoe_Sales[[#This Row],[Brand]])</f>
        <v>Nike</v>
      </c>
      <c r="I429" s="4" t="s">
        <v>26</v>
      </c>
      <c r="J429" s="5">
        <v>5</v>
      </c>
      <c r="K429" s="4" t="s">
        <v>79</v>
      </c>
      <c r="L429" s="12">
        <f>VLOOKUP(Shoe_Sales[[#This Row],[Product Cleaned]],Price!$A$2:$C$9,2,FALSE)</f>
        <v>89</v>
      </c>
      <c r="M429" s="12">
        <f>VLOOKUP(Shoe_Sales[[#This Row],[Product Cleaned]],Price!$A$2:$C$9,3,0)</f>
        <v>47</v>
      </c>
      <c r="N429" s="12">
        <f>(Shoe_Sales[[#This Row],[Quantity]]*Shoe_Sales[[#This Row],[Selling Price]])</f>
        <v>445</v>
      </c>
      <c r="O429" s="12">
        <f>(Shoe_Sales[[#This Row],[Quantity]]*Shoe_Sales[[#This Row],[Cost Price]])</f>
        <v>235</v>
      </c>
      <c r="P429" s="12">
        <f>(Shoe_Sales[[#This Row],[Revenue]]-Shoe_Sales[[#This Row],[Cost]])</f>
        <v>210</v>
      </c>
      <c r="Q429" s="15">
        <f>(Shoe_Sales[[#This Row],[Profit]]/Shoe_Sales[[#This Row],[Revenue]])</f>
        <v>0.47191011235955055</v>
      </c>
    </row>
    <row r="430" spans="1:17" x14ac:dyDescent="0.25">
      <c r="A430" s="8">
        <v>46106</v>
      </c>
      <c r="B430" s="2" t="s">
        <v>62</v>
      </c>
      <c r="C430" s="2" t="str">
        <f t="shared" si="12"/>
        <v>Brogues</v>
      </c>
      <c r="D430" s="2" t="s">
        <v>52</v>
      </c>
      <c r="E430" s="2" t="str">
        <f t="shared" si="13"/>
        <v>Casual</v>
      </c>
      <c r="F430" s="2" t="s">
        <v>19</v>
      </c>
      <c r="G430" s="2" t="s">
        <v>30</v>
      </c>
      <c r="H430" s="2" t="str">
        <f>PROPER(Shoe_Sales[[#This Row],[Brand]])</f>
        <v>Timberland</v>
      </c>
      <c r="I430" s="2" t="s">
        <v>35</v>
      </c>
      <c r="J430" s="3">
        <v>2</v>
      </c>
      <c r="K430" s="2" t="s">
        <v>80</v>
      </c>
      <c r="L430" s="12">
        <f>VLOOKUP(Shoe_Sales[[#This Row],[Product Cleaned]],Price!$A$2:$C$9,2,FALSE)</f>
        <v>112</v>
      </c>
      <c r="M430" s="12">
        <f>VLOOKUP(Shoe_Sales[[#This Row],[Product Cleaned]],Price!$A$2:$C$9,3,0)</f>
        <v>64</v>
      </c>
      <c r="N430" s="12">
        <f>(Shoe_Sales[[#This Row],[Quantity]]*Shoe_Sales[[#This Row],[Selling Price]])</f>
        <v>224</v>
      </c>
      <c r="O430" s="12">
        <f>(Shoe_Sales[[#This Row],[Quantity]]*Shoe_Sales[[#This Row],[Cost Price]])</f>
        <v>128</v>
      </c>
      <c r="P430" s="12">
        <f>(Shoe_Sales[[#This Row],[Revenue]]-Shoe_Sales[[#This Row],[Cost]])</f>
        <v>96</v>
      </c>
      <c r="Q430" s="15">
        <f>(Shoe_Sales[[#This Row],[Profit]]/Shoe_Sales[[#This Row],[Revenue]])</f>
        <v>0.42857142857142855</v>
      </c>
    </row>
    <row r="431" spans="1:17" x14ac:dyDescent="0.25">
      <c r="A431" s="9">
        <v>46209</v>
      </c>
      <c r="B431" s="4" t="s">
        <v>44</v>
      </c>
      <c r="C431" s="2" t="str">
        <f t="shared" si="12"/>
        <v>Canvas</v>
      </c>
      <c r="D431" s="4" t="s">
        <v>13</v>
      </c>
      <c r="E431" s="2" t="str">
        <f t="shared" si="13"/>
        <v>Casual</v>
      </c>
      <c r="F431" s="4" t="s">
        <v>19</v>
      </c>
      <c r="G431" s="4" t="s">
        <v>30</v>
      </c>
      <c r="H431" s="4" t="str">
        <f>PROPER(Shoe_Sales[[#This Row],[Brand]])</f>
        <v>Timberland</v>
      </c>
      <c r="I431" s="4" t="s">
        <v>35</v>
      </c>
      <c r="J431" s="5">
        <v>6</v>
      </c>
      <c r="K431" s="4" t="s">
        <v>82</v>
      </c>
      <c r="L431" s="12">
        <f>VLOOKUP(Shoe_Sales[[#This Row],[Product Cleaned]],Price!$A$2:$C$9,2,FALSE)</f>
        <v>128</v>
      </c>
      <c r="M431" s="12">
        <f>VLOOKUP(Shoe_Sales[[#This Row],[Product Cleaned]],Price!$A$2:$C$9,3,0)</f>
        <v>72</v>
      </c>
      <c r="N431" s="12">
        <f>(Shoe_Sales[[#This Row],[Quantity]]*Shoe_Sales[[#This Row],[Selling Price]])</f>
        <v>768</v>
      </c>
      <c r="O431" s="12">
        <f>(Shoe_Sales[[#This Row],[Quantity]]*Shoe_Sales[[#This Row],[Cost Price]])</f>
        <v>432</v>
      </c>
      <c r="P431" s="12">
        <f>(Shoe_Sales[[#This Row],[Revenue]]-Shoe_Sales[[#This Row],[Cost]])</f>
        <v>336</v>
      </c>
      <c r="Q431" s="15">
        <f>(Shoe_Sales[[#This Row],[Profit]]/Shoe_Sales[[#This Row],[Revenue]])</f>
        <v>0.4375</v>
      </c>
    </row>
    <row r="432" spans="1:17" x14ac:dyDescent="0.25">
      <c r="A432" s="8">
        <v>46247</v>
      </c>
      <c r="B432" s="2" t="s">
        <v>75</v>
      </c>
      <c r="C432" s="2" t="str">
        <f t="shared" si="12"/>
        <v>Brogues</v>
      </c>
      <c r="D432" s="2" t="s">
        <v>23</v>
      </c>
      <c r="E432" s="2" t="str">
        <f t="shared" si="13"/>
        <v>Casual</v>
      </c>
      <c r="F432" s="2" t="s">
        <v>24</v>
      </c>
      <c r="G432" s="2" t="s">
        <v>15</v>
      </c>
      <c r="H432" s="2" t="str">
        <f>PROPER(Shoe_Sales[[#This Row],[Brand]])</f>
        <v>Steve Madden</v>
      </c>
      <c r="I432" s="2" t="s">
        <v>41</v>
      </c>
      <c r="J432" s="3">
        <v>7</v>
      </c>
      <c r="K432" s="2" t="s">
        <v>81</v>
      </c>
      <c r="L432" s="12">
        <f>VLOOKUP(Shoe_Sales[[#This Row],[Product Cleaned]],Price!$A$2:$C$9,2,FALSE)</f>
        <v>112</v>
      </c>
      <c r="M432" s="12">
        <f>VLOOKUP(Shoe_Sales[[#This Row],[Product Cleaned]],Price!$A$2:$C$9,3,0)</f>
        <v>64</v>
      </c>
      <c r="N432" s="12">
        <f>(Shoe_Sales[[#This Row],[Quantity]]*Shoe_Sales[[#This Row],[Selling Price]])</f>
        <v>784</v>
      </c>
      <c r="O432" s="12">
        <f>(Shoe_Sales[[#This Row],[Quantity]]*Shoe_Sales[[#This Row],[Cost Price]])</f>
        <v>448</v>
      </c>
      <c r="P432" s="12">
        <f>(Shoe_Sales[[#This Row],[Revenue]]-Shoe_Sales[[#This Row],[Cost]])</f>
        <v>336</v>
      </c>
      <c r="Q432" s="15">
        <f>(Shoe_Sales[[#This Row],[Profit]]/Shoe_Sales[[#This Row],[Revenue]])</f>
        <v>0.42857142857142855</v>
      </c>
    </row>
    <row r="433" spans="1:17" x14ac:dyDescent="0.25">
      <c r="A433" s="9">
        <v>46201</v>
      </c>
      <c r="B433" s="4" t="s">
        <v>55</v>
      </c>
      <c r="C433" s="2" t="str">
        <f t="shared" si="12"/>
        <v>Boots</v>
      </c>
      <c r="D433" s="4" t="s">
        <v>8</v>
      </c>
      <c r="E433" s="2" t="str">
        <f t="shared" si="13"/>
        <v>Formal</v>
      </c>
      <c r="F433" s="4" t="s">
        <v>29</v>
      </c>
      <c r="G433" s="4" t="s">
        <v>40</v>
      </c>
      <c r="H433" s="4" t="str">
        <f>PROPER(Shoe_Sales[[#This Row],[Brand]])</f>
        <v>Zara</v>
      </c>
      <c r="I433" s="4" t="s">
        <v>50</v>
      </c>
      <c r="J433" s="5">
        <v>3</v>
      </c>
      <c r="K433" s="4" t="s">
        <v>80</v>
      </c>
      <c r="L433" s="12">
        <f>VLOOKUP(Shoe_Sales[[#This Row],[Product Cleaned]],Price!$A$2:$C$9,2,FALSE)</f>
        <v>76</v>
      </c>
      <c r="M433" s="12">
        <f>VLOOKUP(Shoe_Sales[[#This Row],[Product Cleaned]],Price!$A$2:$C$9,3,0)</f>
        <v>39</v>
      </c>
      <c r="N433" s="12">
        <f>(Shoe_Sales[[#This Row],[Quantity]]*Shoe_Sales[[#This Row],[Selling Price]])</f>
        <v>228</v>
      </c>
      <c r="O433" s="12">
        <f>(Shoe_Sales[[#This Row],[Quantity]]*Shoe_Sales[[#This Row],[Cost Price]])</f>
        <v>117</v>
      </c>
      <c r="P433" s="12">
        <f>(Shoe_Sales[[#This Row],[Revenue]]-Shoe_Sales[[#This Row],[Cost]])</f>
        <v>111</v>
      </c>
      <c r="Q433" s="15">
        <f>(Shoe_Sales[[#This Row],[Profit]]/Shoe_Sales[[#This Row],[Revenue]])</f>
        <v>0.48684210526315791</v>
      </c>
    </row>
    <row r="434" spans="1:17" x14ac:dyDescent="0.25">
      <c r="A434" s="8">
        <v>46080</v>
      </c>
      <c r="B434" s="2" t="s">
        <v>63</v>
      </c>
      <c r="C434" s="2" t="str">
        <f t="shared" si="12"/>
        <v>Monk Straps</v>
      </c>
      <c r="D434" s="2" t="s">
        <v>8</v>
      </c>
      <c r="E434" s="2" t="str">
        <f t="shared" si="13"/>
        <v>Formal</v>
      </c>
      <c r="F434" s="2" t="s">
        <v>14</v>
      </c>
      <c r="G434" s="2" t="s">
        <v>10</v>
      </c>
      <c r="H434" s="2" t="str">
        <f>PROPER(Shoe_Sales[[#This Row],[Brand]])</f>
        <v>Clarks</v>
      </c>
      <c r="I434" s="2" t="s">
        <v>35</v>
      </c>
      <c r="J434" s="3">
        <v>5</v>
      </c>
      <c r="K434" s="2" t="s">
        <v>79</v>
      </c>
      <c r="L434" s="12">
        <f>VLOOKUP(Shoe_Sales[[#This Row],[Product Cleaned]],Price!$A$2:$C$9,2,FALSE)</f>
        <v>89</v>
      </c>
      <c r="M434" s="12">
        <f>VLOOKUP(Shoe_Sales[[#This Row],[Product Cleaned]],Price!$A$2:$C$9,3,0)</f>
        <v>47</v>
      </c>
      <c r="N434" s="12">
        <f>(Shoe_Sales[[#This Row],[Quantity]]*Shoe_Sales[[#This Row],[Selling Price]])</f>
        <v>445</v>
      </c>
      <c r="O434" s="12">
        <f>(Shoe_Sales[[#This Row],[Quantity]]*Shoe_Sales[[#This Row],[Cost Price]])</f>
        <v>235</v>
      </c>
      <c r="P434" s="12">
        <f>(Shoe_Sales[[#This Row],[Revenue]]-Shoe_Sales[[#This Row],[Cost]])</f>
        <v>210</v>
      </c>
      <c r="Q434" s="15">
        <f>(Shoe_Sales[[#This Row],[Profit]]/Shoe_Sales[[#This Row],[Revenue]])</f>
        <v>0.47191011235955055</v>
      </c>
    </row>
    <row r="435" spans="1:17" x14ac:dyDescent="0.25">
      <c r="A435" s="9">
        <v>46074</v>
      </c>
      <c r="B435" s="4" t="s">
        <v>42</v>
      </c>
      <c r="C435" s="2" t="str">
        <f t="shared" si="12"/>
        <v>Derby</v>
      </c>
      <c r="D435" s="4" t="s">
        <v>48</v>
      </c>
      <c r="E435" s="2" t="str">
        <f t="shared" si="13"/>
        <v>Open</v>
      </c>
      <c r="F435" s="4" t="s">
        <v>29</v>
      </c>
      <c r="G435" s="4" t="s">
        <v>10</v>
      </c>
      <c r="H435" s="4" t="str">
        <f>PROPER(Shoe_Sales[[#This Row],[Brand]])</f>
        <v>Clarks</v>
      </c>
      <c r="I435" s="4" t="s">
        <v>31</v>
      </c>
      <c r="J435" s="5">
        <v>3</v>
      </c>
      <c r="K435" s="4" t="s">
        <v>79</v>
      </c>
      <c r="L435" s="12">
        <f>VLOOKUP(Shoe_Sales[[#This Row],[Product Cleaned]],Price!$A$2:$C$9,2,FALSE)</f>
        <v>32</v>
      </c>
      <c r="M435" s="12">
        <f>VLOOKUP(Shoe_Sales[[#This Row],[Product Cleaned]],Price!$A$2:$C$9,3,0)</f>
        <v>14</v>
      </c>
      <c r="N435" s="12">
        <f>(Shoe_Sales[[#This Row],[Quantity]]*Shoe_Sales[[#This Row],[Selling Price]])</f>
        <v>96</v>
      </c>
      <c r="O435" s="12">
        <f>(Shoe_Sales[[#This Row],[Quantity]]*Shoe_Sales[[#This Row],[Cost Price]])</f>
        <v>42</v>
      </c>
      <c r="P435" s="12">
        <f>(Shoe_Sales[[#This Row],[Revenue]]-Shoe_Sales[[#This Row],[Cost]])</f>
        <v>54</v>
      </c>
      <c r="Q435" s="15">
        <f>(Shoe_Sales[[#This Row],[Profit]]/Shoe_Sales[[#This Row],[Revenue]])</f>
        <v>0.5625</v>
      </c>
    </row>
    <row r="436" spans="1:17" x14ac:dyDescent="0.25">
      <c r="A436" s="8">
        <v>46086</v>
      </c>
      <c r="B436" s="2" t="s">
        <v>36</v>
      </c>
      <c r="C436" s="2" t="str">
        <f t="shared" si="12"/>
        <v>Brogues</v>
      </c>
      <c r="D436" s="2" t="s">
        <v>48</v>
      </c>
      <c r="E436" s="2" t="str">
        <f t="shared" si="13"/>
        <v>Open</v>
      </c>
      <c r="F436" s="2" t="s">
        <v>19</v>
      </c>
      <c r="G436" s="2" t="s">
        <v>73</v>
      </c>
      <c r="H436" s="2" t="str">
        <f>PROPER(Shoe_Sales[[#This Row],[Brand]])</f>
        <v>Timberland</v>
      </c>
      <c r="I436" s="2" t="s">
        <v>41</v>
      </c>
      <c r="J436" s="3">
        <v>7</v>
      </c>
      <c r="K436" s="2" t="s">
        <v>81</v>
      </c>
      <c r="L436" s="12">
        <f>VLOOKUP(Shoe_Sales[[#This Row],[Product Cleaned]],Price!$A$2:$C$9,2,FALSE)</f>
        <v>112</v>
      </c>
      <c r="M436" s="12">
        <f>VLOOKUP(Shoe_Sales[[#This Row],[Product Cleaned]],Price!$A$2:$C$9,3,0)</f>
        <v>64</v>
      </c>
      <c r="N436" s="12">
        <f>(Shoe_Sales[[#This Row],[Quantity]]*Shoe_Sales[[#This Row],[Selling Price]])</f>
        <v>784</v>
      </c>
      <c r="O436" s="12">
        <f>(Shoe_Sales[[#This Row],[Quantity]]*Shoe_Sales[[#This Row],[Cost Price]])</f>
        <v>448</v>
      </c>
      <c r="P436" s="12">
        <f>(Shoe_Sales[[#This Row],[Revenue]]-Shoe_Sales[[#This Row],[Cost]])</f>
        <v>336</v>
      </c>
      <c r="Q436" s="15">
        <f>(Shoe_Sales[[#This Row],[Profit]]/Shoe_Sales[[#This Row],[Revenue]])</f>
        <v>0.42857142857142855</v>
      </c>
    </row>
    <row r="437" spans="1:17" x14ac:dyDescent="0.25">
      <c r="A437" s="9">
        <v>46144</v>
      </c>
      <c r="B437" s="4" t="s">
        <v>7</v>
      </c>
      <c r="C437" s="2" t="str">
        <f t="shared" si="12"/>
        <v>Derby</v>
      </c>
      <c r="D437" s="4" t="s">
        <v>13</v>
      </c>
      <c r="E437" s="2" t="str">
        <f t="shared" si="13"/>
        <v>Casual</v>
      </c>
      <c r="F437" s="4" t="s">
        <v>14</v>
      </c>
      <c r="G437" s="4" t="s">
        <v>34</v>
      </c>
      <c r="H437" s="4" t="str">
        <f>PROPER(Shoe_Sales[[#This Row],[Brand]])</f>
        <v>Clarks</v>
      </c>
      <c r="I437" s="4" t="s">
        <v>50</v>
      </c>
      <c r="J437" s="5">
        <v>3</v>
      </c>
      <c r="K437" s="4" t="s">
        <v>79</v>
      </c>
      <c r="L437" s="12">
        <f>VLOOKUP(Shoe_Sales[[#This Row],[Product Cleaned]],Price!$A$2:$C$9,2,FALSE)</f>
        <v>32</v>
      </c>
      <c r="M437" s="12">
        <f>VLOOKUP(Shoe_Sales[[#This Row],[Product Cleaned]],Price!$A$2:$C$9,3,0)</f>
        <v>14</v>
      </c>
      <c r="N437" s="12">
        <f>(Shoe_Sales[[#This Row],[Quantity]]*Shoe_Sales[[#This Row],[Selling Price]])</f>
        <v>96</v>
      </c>
      <c r="O437" s="12">
        <f>(Shoe_Sales[[#This Row],[Quantity]]*Shoe_Sales[[#This Row],[Cost Price]])</f>
        <v>42</v>
      </c>
      <c r="P437" s="12">
        <f>(Shoe_Sales[[#This Row],[Revenue]]-Shoe_Sales[[#This Row],[Cost]])</f>
        <v>54</v>
      </c>
      <c r="Q437" s="15">
        <f>(Shoe_Sales[[#This Row],[Profit]]/Shoe_Sales[[#This Row],[Revenue]])</f>
        <v>0.5625</v>
      </c>
    </row>
    <row r="438" spans="1:17" x14ac:dyDescent="0.25">
      <c r="A438" s="8">
        <v>46162</v>
      </c>
      <c r="B438" s="2" t="s">
        <v>12</v>
      </c>
      <c r="C438" s="2" t="str">
        <f t="shared" si="12"/>
        <v>Canvas</v>
      </c>
      <c r="D438" s="2" t="s">
        <v>8</v>
      </c>
      <c r="E438" s="2" t="str">
        <f t="shared" si="13"/>
        <v>Formal</v>
      </c>
      <c r="F438" s="2" t="s">
        <v>29</v>
      </c>
      <c r="G438" s="2" t="s">
        <v>10</v>
      </c>
      <c r="H438" s="2" t="str">
        <f>PROPER(Shoe_Sales[[#This Row],[Brand]])</f>
        <v>Clarks</v>
      </c>
      <c r="I438" s="2" t="s">
        <v>41</v>
      </c>
      <c r="J438" s="3">
        <v>8</v>
      </c>
      <c r="K438" s="2" t="s">
        <v>81</v>
      </c>
      <c r="L438" s="12">
        <f>VLOOKUP(Shoe_Sales[[#This Row],[Product Cleaned]],Price!$A$2:$C$9,2,FALSE)</f>
        <v>128</v>
      </c>
      <c r="M438" s="12">
        <f>VLOOKUP(Shoe_Sales[[#This Row],[Product Cleaned]],Price!$A$2:$C$9,3,0)</f>
        <v>72</v>
      </c>
      <c r="N438" s="12">
        <f>(Shoe_Sales[[#This Row],[Quantity]]*Shoe_Sales[[#This Row],[Selling Price]])</f>
        <v>1024</v>
      </c>
      <c r="O438" s="12">
        <f>(Shoe_Sales[[#This Row],[Quantity]]*Shoe_Sales[[#This Row],[Cost Price]])</f>
        <v>576</v>
      </c>
      <c r="P438" s="12">
        <f>(Shoe_Sales[[#This Row],[Revenue]]-Shoe_Sales[[#This Row],[Cost]])</f>
        <v>448</v>
      </c>
      <c r="Q438" s="15">
        <f>(Shoe_Sales[[#This Row],[Profit]]/Shoe_Sales[[#This Row],[Revenue]])</f>
        <v>0.4375</v>
      </c>
    </row>
    <row r="439" spans="1:17" x14ac:dyDescent="0.25">
      <c r="A439" s="9">
        <v>46105</v>
      </c>
      <c r="B439" s="4" t="s">
        <v>7</v>
      </c>
      <c r="C439" s="2" t="str">
        <f t="shared" si="12"/>
        <v>Derby</v>
      </c>
      <c r="D439" s="4" t="s">
        <v>52</v>
      </c>
      <c r="E439" s="2" t="str">
        <f t="shared" si="13"/>
        <v>Casual</v>
      </c>
      <c r="F439" s="4" t="s">
        <v>19</v>
      </c>
      <c r="G439" s="4" t="s">
        <v>40</v>
      </c>
      <c r="H439" s="4" t="str">
        <f>PROPER(Shoe_Sales[[#This Row],[Brand]])</f>
        <v>Zara</v>
      </c>
      <c r="I439" s="4" t="s">
        <v>58</v>
      </c>
      <c r="J439" s="5">
        <v>3</v>
      </c>
      <c r="K439" s="4" t="s">
        <v>80</v>
      </c>
      <c r="L439" s="12">
        <f>VLOOKUP(Shoe_Sales[[#This Row],[Product Cleaned]],Price!$A$2:$C$9,2,FALSE)</f>
        <v>32</v>
      </c>
      <c r="M439" s="12">
        <f>VLOOKUP(Shoe_Sales[[#This Row],[Product Cleaned]],Price!$A$2:$C$9,3,0)</f>
        <v>14</v>
      </c>
      <c r="N439" s="12">
        <f>(Shoe_Sales[[#This Row],[Quantity]]*Shoe_Sales[[#This Row],[Selling Price]])</f>
        <v>96</v>
      </c>
      <c r="O439" s="12">
        <f>(Shoe_Sales[[#This Row],[Quantity]]*Shoe_Sales[[#This Row],[Cost Price]])</f>
        <v>42</v>
      </c>
      <c r="P439" s="12">
        <f>(Shoe_Sales[[#This Row],[Revenue]]-Shoe_Sales[[#This Row],[Cost]])</f>
        <v>54</v>
      </c>
      <c r="Q439" s="15">
        <f>(Shoe_Sales[[#This Row],[Profit]]/Shoe_Sales[[#This Row],[Revenue]])</f>
        <v>0.5625</v>
      </c>
    </row>
    <row r="440" spans="1:17" x14ac:dyDescent="0.25">
      <c r="A440" s="8">
        <v>46175</v>
      </c>
      <c r="B440" s="2" t="s">
        <v>47</v>
      </c>
      <c r="C440" s="2" t="str">
        <f t="shared" si="12"/>
        <v>Slippers</v>
      </c>
      <c r="D440" s="2" t="s">
        <v>56</v>
      </c>
      <c r="E440" s="2" t="str">
        <f t="shared" si="13"/>
        <v>Utility</v>
      </c>
      <c r="F440" s="2" t="s">
        <v>24</v>
      </c>
      <c r="G440" s="2" t="s">
        <v>45</v>
      </c>
      <c r="H440" s="2" t="str">
        <f>PROPER(Shoe_Sales[[#This Row],[Brand]])</f>
        <v>Steve Madden</v>
      </c>
      <c r="I440" s="2" t="s">
        <v>31</v>
      </c>
      <c r="J440" s="3">
        <v>5</v>
      </c>
      <c r="K440" s="2" t="s">
        <v>81</v>
      </c>
      <c r="L440" s="12">
        <f>VLOOKUP(Shoe_Sales[[#This Row],[Product Cleaned]],Price!$A$2:$C$9,2,FALSE)</f>
        <v>119</v>
      </c>
      <c r="M440" s="12">
        <f>VLOOKUP(Shoe_Sales[[#This Row],[Product Cleaned]],Price!$A$2:$C$9,3,0)</f>
        <v>67</v>
      </c>
      <c r="N440" s="12">
        <f>(Shoe_Sales[[#This Row],[Quantity]]*Shoe_Sales[[#This Row],[Selling Price]])</f>
        <v>595</v>
      </c>
      <c r="O440" s="12">
        <f>(Shoe_Sales[[#This Row],[Quantity]]*Shoe_Sales[[#This Row],[Cost Price]])</f>
        <v>335</v>
      </c>
      <c r="P440" s="12">
        <f>(Shoe_Sales[[#This Row],[Revenue]]-Shoe_Sales[[#This Row],[Cost]])</f>
        <v>260</v>
      </c>
      <c r="Q440" s="15">
        <f>(Shoe_Sales[[#This Row],[Profit]]/Shoe_Sales[[#This Row],[Revenue]])</f>
        <v>0.43697478991596639</v>
      </c>
    </row>
    <row r="441" spans="1:17" x14ac:dyDescent="0.25">
      <c r="A441" s="9">
        <v>46126</v>
      </c>
      <c r="B441" s="4" t="s">
        <v>63</v>
      </c>
      <c r="C441" s="2" t="str">
        <f t="shared" si="12"/>
        <v>Monk Straps</v>
      </c>
      <c r="D441" s="4" t="s">
        <v>52</v>
      </c>
      <c r="E441" s="2" t="str">
        <f t="shared" si="13"/>
        <v>Casual</v>
      </c>
      <c r="F441" s="4" t="s">
        <v>19</v>
      </c>
      <c r="G441" s="4" t="s">
        <v>10</v>
      </c>
      <c r="H441" s="4" t="str">
        <f>PROPER(Shoe_Sales[[#This Row],[Brand]])</f>
        <v>Clarks</v>
      </c>
      <c r="I441" s="4" t="s">
        <v>41</v>
      </c>
      <c r="J441" s="5">
        <v>3</v>
      </c>
      <c r="K441" s="4" t="s">
        <v>82</v>
      </c>
      <c r="L441" s="12">
        <f>VLOOKUP(Shoe_Sales[[#This Row],[Product Cleaned]],Price!$A$2:$C$9,2,FALSE)</f>
        <v>89</v>
      </c>
      <c r="M441" s="12">
        <f>VLOOKUP(Shoe_Sales[[#This Row],[Product Cleaned]],Price!$A$2:$C$9,3,0)</f>
        <v>47</v>
      </c>
      <c r="N441" s="12">
        <f>(Shoe_Sales[[#This Row],[Quantity]]*Shoe_Sales[[#This Row],[Selling Price]])</f>
        <v>267</v>
      </c>
      <c r="O441" s="12">
        <f>(Shoe_Sales[[#This Row],[Quantity]]*Shoe_Sales[[#This Row],[Cost Price]])</f>
        <v>141</v>
      </c>
      <c r="P441" s="12">
        <f>(Shoe_Sales[[#This Row],[Revenue]]-Shoe_Sales[[#This Row],[Cost]])</f>
        <v>126</v>
      </c>
      <c r="Q441" s="15">
        <f>(Shoe_Sales[[#This Row],[Profit]]/Shoe_Sales[[#This Row],[Revenue]])</f>
        <v>0.47191011235955055</v>
      </c>
    </row>
    <row r="442" spans="1:17" x14ac:dyDescent="0.25">
      <c r="A442" s="8">
        <v>46189</v>
      </c>
      <c r="B442" s="2" t="s">
        <v>32</v>
      </c>
      <c r="C442" s="2" t="str">
        <f t="shared" si="12"/>
        <v>Oxford</v>
      </c>
      <c r="D442" s="2" t="s">
        <v>8</v>
      </c>
      <c r="E442" s="2" t="str">
        <f t="shared" si="13"/>
        <v>Formal</v>
      </c>
      <c r="F442" s="2" t="s">
        <v>9</v>
      </c>
      <c r="G442" s="2" t="s">
        <v>60</v>
      </c>
      <c r="H442" s="2" t="str">
        <f>PROPER(Shoe_Sales[[#This Row],[Brand]])</f>
        <v>Clarks</v>
      </c>
      <c r="I442" s="2" t="s">
        <v>35</v>
      </c>
      <c r="J442" s="3">
        <v>13</v>
      </c>
      <c r="K442" s="2" t="s">
        <v>80</v>
      </c>
      <c r="L442" s="12">
        <f>VLOOKUP(Shoe_Sales[[#This Row],[Product Cleaned]],Price!$A$2:$C$9,2,FALSE)</f>
        <v>105</v>
      </c>
      <c r="M442" s="12">
        <f>VLOOKUP(Shoe_Sales[[#This Row],[Product Cleaned]],Price!$A$2:$C$9,3,0)</f>
        <v>58</v>
      </c>
      <c r="N442" s="12">
        <f>(Shoe_Sales[[#This Row],[Quantity]]*Shoe_Sales[[#This Row],[Selling Price]])</f>
        <v>1365</v>
      </c>
      <c r="O442" s="12">
        <f>(Shoe_Sales[[#This Row],[Quantity]]*Shoe_Sales[[#This Row],[Cost Price]])</f>
        <v>754</v>
      </c>
      <c r="P442" s="12">
        <f>(Shoe_Sales[[#This Row],[Revenue]]-Shoe_Sales[[#This Row],[Cost]])</f>
        <v>611</v>
      </c>
      <c r="Q442" s="15">
        <f>(Shoe_Sales[[#This Row],[Profit]]/Shoe_Sales[[#This Row],[Revenue]])</f>
        <v>0.44761904761904764</v>
      </c>
    </row>
    <row r="443" spans="1:17" x14ac:dyDescent="0.25">
      <c r="A443" s="9">
        <v>46023</v>
      </c>
      <c r="B443" s="4" t="s">
        <v>55</v>
      </c>
      <c r="C443" s="2" t="str">
        <f t="shared" si="12"/>
        <v>Boots</v>
      </c>
      <c r="D443" s="4" t="s">
        <v>13</v>
      </c>
      <c r="E443" s="2" t="str">
        <f t="shared" si="13"/>
        <v>Casual</v>
      </c>
      <c r="F443" s="4" t="s">
        <v>19</v>
      </c>
      <c r="G443" s="4" t="s">
        <v>60</v>
      </c>
      <c r="H443" s="4" t="str">
        <f>PROPER(Shoe_Sales[[#This Row],[Brand]])</f>
        <v>Clarks</v>
      </c>
      <c r="I443" s="4" t="s">
        <v>37</v>
      </c>
      <c r="J443" s="5">
        <v>12</v>
      </c>
      <c r="K443" s="4" t="s">
        <v>81</v>
      </c>
      <c r="L443" s="12">
        <f>VLOOKUP(Shoe_Sales[[#This Row],[Product Cleaned]],Price!$A$2:$C$9,2,FALSE)</f>
        <v>76</v>
      </c>
      <c r="M443" s="12">
        <f>VLOOKUP(Shoe_Sales[[#This Row],[Product Cleaned]],Price!$A$2:$C$9,3,0)</f>
        <v>39</v>
      </c>
      <c r="N443" s="12">
        <f>(Shoe_Sales[[#This Row],[Quantity]]*Shoe_Sales[[#This Row],[Selling Price]])</f>
        <v>912</v>
      </c>
      <c r="O443" s="12">
        <f>(Shoe_Sales[[#This Row],[Quantity]]*Shoe_Sales[[#This Row],[Cost Price]])</f>
        <v>468</v>
      </c>
      <c r="P443" s="12">
        <f>(Shoe_Sales[[#This Row],[Revenue]]-Shoe_Sales[[#This Row],[Cost]])</f>
        <v>444</v>
      </c>
      <c r="Q443" s="15">
        <f>(Shoe_Sales[[#This Row],[Profit]]/Shoe_Sales[[#This Row],[Revenue]])</f>
        <v>0.48684210526315791</v>
      </c>
    </row>
    <row r="444" spans="1:17" x14ac:dyDescent="0.25">
      <c r="A444" s="8">
        <v>46207</v>
      </c>
      <c r="B444" s="2" t="s">
        <v>38</v>
      </c>
      <c r="C444" s="2" t="str">
        <f t="shared" si="12"/>
        <v>Monk Straps</v>
      </c>
      <c r="D444" s="2" t="s">
        <v>23</v>
      </c>
      <c r="E444" s="2" t="str">
        <f t="shared" si="13"/>
        <v>Casual</v>
      </c>
      <c r="F444" s="2" t="s">
        <v>9</v>
      </c>
      <c r="G444" s="2" t="s">
        <v>34</v>
      </c>
      <c r="H444" s="2" t="str">
        <f>PROPER(Shoe_Sales[[#This Row],[Brand]])</f>
        <v>Clarks</v>
      </c>
      <c r="I444" s="2" t="s">
        <v>31</v>
      </c>
      <c r="J444" s="3">
        <v>3</v>
      </c>
      <c r="K444" s="2" t="s">
        <v>80</v>
      </c>
      <c r="L444" s="12">
        <f>VLOOKUP(Shoe_Sales[[#This Row],[Product Cleaned]],Price!$A$2:$C$9,2,FALSE)</f>
        <v>89</v>
      </c>
      <c r="M444" s="12">
        <f>VLOOKUP(Shoe_Sales[[#This Row],[Product Cleaned]],Price!$A$2:$C$9,3,0)</f>
        <v>47</v>
      </c>
      <c r="N444" s="12">
        <f>(Shoe_Sales[[#This Row],[Quantity]]*Shoe_Sales[[#This Row],[Selling Price]])</f>
        <v>267</v>
      </c>
      <c r="O444" s="12">
        <f>(Shoe_Sales[[#This Row],[Quantity]]*Shoe_Sales[[#This Row],[Cost Price]])</f>
        <v>141</v>
      </c>
      <c r="P444" s="12">
        <f>(Shoe_Sales[[#This Row],[Revenue]]-Shoe_Sales[[#This Row],[Cost]])</f>
        <v>126</v>
      </c>
      <c r="Q444" s="15">
        <f>(Shoe_Sales[[#This Row],[Profit]]/Shoe_Sales[[#This Row],[Revenue]])</f>
        <v>0.47191011235955055</v>
      </c>
    </row>
    <row r="445" spans="1:17" x14ac:dyDescent="0.25">
      <c r="A445" s="9">
        <v>46188</v>
      </c>
      <c r="B445" s="4" t="s">
        <v>74</v>
      </c>
      <c r="C445" s="2" t="str">
        <f t="shared" si="12"/>
        <v>Oxford</v>
      </c>
      <c r="D445" s="4" t="s">
        <v>68</v>
      </c>
      <c r="E445" s="2" t="str">
        <f t="shared" si="13"/>
        <v>Open</v>
      </c>
      <c r="F445" s="4" t="s">
        <v>14</v>
      </c>
      <c r="G445" s="4" t="s">
        <v>10</v>
      </c>
      <c r="H445" s="4" t="str">
        <f>PROPER(Shoe_Sales[[#This Row],[Brand]])</f>
        <v>Clarks</v>
      </c>
      <c r="I445" s="4" t="s">
        <v>54</v>
      </c>
      <c r="J445" s="5">
        <v>2</v>
      </c>
      <c r="K445" s="4" t="s">
        <v>81</v>
      </c>
      <c r="L445" s="12">
        <f>VLOOKUP(Shoe_Sales[[#This Row],[Product Cleaned]],Price!$A$2:$C$9,2,FALSE)</f>
        <v>105</v>
      </c>
      <c r="M445" s="12">
        <f>VLOOKUP(Shoe_Sales[[#This Row],[Product Cleaned]],Price!$A$2:$C$9,3,0)</f>
        <v>58</v>
      </c>
      <c r="N445" s="12">
        <f>(Shoe_Sales[[#This Row],[Quantity]]*Shoe_Sales[[#This Row],[Selling Price]])</f>
        <v>210</v>
      </c>
      <c r="O445" s="12">
        <f>(Shoe_Sales[[#This Row],[Quantity]]*Shoe_Sales[[#This Row],[Cost Price]])</f>
        <v>116</v>
      </c>
      <c r="P445" s="12">
        <f>(Shoe_Sales[[#This Row],[Revenue]]-Shoe_Sales[[#This Row],[Cost]])</f>
        <v>94</v>
      </c>
      <c r="Q445" s="15">
        <f>(Shoe_Sales[[#This Row],[Profit]]/Shoe_Sales[[#This Row],[Revenue]])</f>
        <v>0.44761904761904764</v>
      </c>
    </row>
    <row r="446" spans="1:17" x14ac:dyDescent="0.25">
      <c r="A446" s="8">
        <v>46178</v>
      </c>
      <c r="B446" s="2" t="s">
        <v>65</v>
      </c>
      <c r="C446" s="2" t="str">
        <f t="shared" si="12"/>
        <v>Canvas</v>
      </c>
      <c r="D446" s="2" t="s">
        <v>33</v>
      </c>
      <c r="E446" s="2" t="str">
        <f t="shared" si="13"/>
        <v>Formal</v>
      </c>
      <c r="F446" s="2" t="s">
        <v>9</v>
      </c>
      <c r="G446" s="2" t="s">
        <v>40</v>
      </c>
      <c r="H446" s="2" t="str">
        <f>PROPER(Shoe_Sales[[#This Row],[Brand]])</f>
        <v>Zara</v>
      </c>
      <c r="I446" s="2" t="s">
        <v>46</v>
      </c>
      <c r="J446" s="3">
        <v>14</v>
      </c>
      <c r="K446" s="2" t="s">
        <v>81</v>
      </c>
      <c r="L446" s="12">
        <f>VLOOKUP(Shoe_Sales[[#This Row],[Product Cleaned]],Price!$A$2:$C$9,2,FALSE)</f>
        <v>128</v>
      </c>
      <c r="M446" s="12">
        <f>VLOOKUP(Shoe_Sales[[#This Row],[Product Cleaned]],Price!$A$2:$C$9,3,0)</f>
        <v>72</v>
      </c>
      <c r="N446" s="12">
        <f>(Shoe_Sales[[#This Row],[Quantity]]*Shoe_Sales[[#This Row],[Selling Price]])</f>
        <v>1792</v>
      </c>
      <c r="O446" s="12">
        <f>(Shoe_Sales[[#This Row],[Quantity]]*Shoe_Sales[[#This Row],[Cost Price]])</f>
        <v>1008</v>
      </c>
      <c r="P446" s="12">
        <f>(Shoe_Sales[[#This Row],[Revenue]]-Shoe_Sales[[#This Row],[Cost]])</f>
        <v>784</v>
      </c>
      <c r="Q446" s="15">
        <f>(Shoe_Sales[[#This Row],[Profit]]/Shoe_Sales[[#This Row],[Revenue]])</f>
        <v>0.4375</v>
      </c>
    </row>
    <row r="447" spans="1:17" x14ac:dyDescent="0.25">
      <c r="A447" s="9">
        <v>46193</v>
      </c>
      <c r="B447" s="4" t="s">
        <v>62</v>
      </c>
      <c r="C447" s="2" t="str">
        <f t="shared" si="12"/>
        <v>Brogues</v>
      </c>
      <c r="D447" s="4" t="s">
        <v>33</v>
      </c>
      <c r="E447" s="2" t="str">
        <f t="shared" si="13"/>
        <v>Formal</v>
      </c>
      <c r="F447" s="4" t="s">
        <v>19</v>
      </c>
      <c r="G447" s="4" t="s">
        <v>60</v>
      </c>
      <c r="H447" s="4" t="str">
        <f>PROPER(Shoe_Sales[[#This Row],[Brand]])</f>
        <v>Clarks</v>
      </c>
      <c r="I447" s="4" t="s">
        <v>31</v>
      </c>
      <c r="J447" s="5">
        <v>4</v>
      </c>
      <c r="K447" s="4" t="s">
        <v>82</v>
      </c>
      <c r="L447" s="12">
        <f>VLOOKUP(Shoe_Sales[[#This Row],[Product Cleaned]],Price!$A$2:$C$9,2,FALSE)</f>
        <v>112</v>
      </c>
      <c r="M447" s="12">
        <f>VLOOKUP(Shoe_Sales[[#This Row],[Product Cleaned]],Price!$A$2:$C$9,3,0)</f>
        <v>64</v>
      </c>
      <c r="N447" s="12">
        <f>(Shoe_Sales[[#This Row],[Quantity]]*Shoe_Sales[[#This Row],[Selling Price]])</f>
        <v>448</v>
      </c>
      <c r="O447" s="12">
        <f>(Shoe_Sales[[#This Row],[Quantity]]*Shoe_Sales[[#This Row],[Cost Price]])</f>
        <v>256</v>
      </c>
      <c r="P447" s="12">
        <f>(Shoe_Sales[[#This Row],[Revenue]]-Shoe_Sales[[#This Row],[Cost]])</f>
        <v>192</v>
      </c>
      <c r="Q447" s="15">
        <f>(Shoe_Sales[[#This Row],[Profit]]/Shoe_Sales[[#This Row],[Revenue]])</f>
        <v>0.42857142857142855</v>
      </c>
    </row>
    <row r="448" spans="1:17" x14ac:dyDescent="0.25">
      <c r="A448" s="8">
        <v>46215</v>
      </c>
      <c r="B448" s="2" t="s">
        <v>22</v>
      </c>
      <c r="C448" s="2" t="str">
        <f t="shared" si="12"/>
        <v>Loafers</v>
      </c>
      <c r="D448" s="2" t="s">
        <v>33</v>
      </c>
      <c r="E448" s="2" t="str">
        <f t="shared" si="13"/>
        <v>Formal</v>
      </c>
      <c r="F448" s="2" t="s">
        <v>19</v>
      </c>
      <c r="G448" s="2" t="s">
        <v>49</v>
      </c>
      <c r="H448" s="2" t="str">
        <f>PROPER(Shoe_Sales[[#This Row],[Brand]])</f>
        <v>Nike</v>
      </c>
      <c r="I448" s="2" t="s">
        <v>16</v>
      </c>
      <c r="J448" s="3">
        <v>4</v>
      </c>
      <c r="K448" s="2" t="s">
        <v>81</v>
      </c>
      <c r="L448" s="12">
        <f>VLOOKUP(Shoe_Sales[[#This Row],[Product Cleaned]],Price!$A$2:$C$9,2,FALSE)</f>
        <v>54</v>
      </c>
      <c r="M448" s="12">
        <f>VLOOKUP(Shoe_Sales[[#This Row],[Product Cleaned]],Price!$A$2:$C$9,3,0)</f>
        <v>28</v>
      </c>
      <c r="N448" s="12">
        <f>(Shoe_Sales[[#This Row],[Quantity]]*Shoe_Sales[[#This Row],[Selling Price]])</f>
        <v>216</v>
      </c>
      <c r="O448" s="12">
        <f>(Shoe_Sales[[#This Row],[Quantity]]*Shoe_Sales[[#This Row],[Cost Price]])</f>
        <v>112</v>
      </c>
      <c r="P448" s="12">
        <f>(Shoe_Sales[[#This Row],[Revenue]]-Shoe_Sales[[#This Row],[Cost]])</f>
        <v>104</v>
      </c>
      <c r="Q448" s="15">
        <f>(Shoe_Sales[[#This Row],[Profit]]/Shoe_Sales[[#This Row],[Revenue]])</f>
        <v>0.48148148148148145</v>
      </c>
    </row>
    <row r="449" spans="1:17" x14ac:dyDescent="0.25">
      <c r="A449" s="9">
        <v>46131</v>
      </c>
      <c r="B449" s="4" t="s">
        <v>55</v>
      </c>
      <c r="C449" s="2" t="str">
        <f t="shared" si="12"/>
        <v>Boots</v>
      </c>
      <c r="D449" s="4" t="s">
        <v>39</v>
      </c>
      <c r="E449" s="2" t="str">
        <f t="shared" si="13"/>
        <v>Formal</v>
      </c>
      <c r="F449" s="4" t="s">
        <v>14</v>
      </c>
      <c r="G449" s="4" t="s">
        <v>10</v>
      </c>
      <c r="H449" s="4" t="str">
        <f>PROPER(Shoe_Sales[[#This Row],[Brand]])</f>
        <v>Clarks</v>
      </c>
      <c r="I449" s="4" t="s">
        <v>11</v>
      </c>
      <c r="J449" s="5">
        <v>4</v>
      </c>
      <c r="K449" s="4" t="s">
        <v>80</v>
      </c>
      <c r="L449" s="12">
        <f>VLOOKUP(Shoe_Sales[[#This Row],[Product Cleaned]],Price!$A$2:$C$9,2,FALSE)</f>
        <v>76</v>
      </c>
      <c r="M449" s="12">
        <f>VLOOKUP(Shoe_Sales[[#This Row],[Product Cleaned]],Price!$A$2:$C$9,3,0)</f>
        <v>39</v>
      </c>
      <c r="N449" s="12">
        <f>(Shoe_Sales[[#This Row],[Quantity]]*Shoe_Sales[[#This Row],[Selling Price]])</f>
        <v>304</v>
      </c>
      <c r="O449" s="12">
        <f>(Shoe_Sales[[#This Row],[Quantity]]*Shoe_Sales[[#This Row],[Cost Price]])</f>
        <v>156</v>
      </c>
      <c r="P449" s="12">
        <f>(Shoe_Sales[[#This Row],[Revenue]]-Shoe_Sales[[#This Row],[Cost]])</f>
        <v>148</v>
      </c>
      <c r="Q449" s="15">
        <f>(Shoe_Sales[[#This Row],[Profit]]/Shoe_Sales[[#This Row],[Revenue]])</f>
        <v>0.48684210526315791</v>
      </c>
    </row>
    <row r="450" spans="1:17" x14ac:dyDescent="0.25">
      <c r="A450" s="8">
        <v>46245</v>
      </c>
      <c r="B450" s="2" t="s">
        <v>67</v>
      </c>
      <c r="C450" s="2" t="str">
        <f t="shared" ref="C450:C501" si="14">TRIM(PROPER(B450))</f>
        <v>Slippers</v>
      </c>
      <c r="D450" s="2" t="s">
        <v>68</v>
      </c>
      <c r="E450" s="2" t="str">
        <f t="shared" si="13"/>
        <v>Open</v>
      </c>
      <c r="F450" s="2" t="s">
        <v>9</v>
      </c>
      <c r="G450" s="2" t="s">
        <v>20</v>
      </c>
      <c r="H450" s="2" t="str">
        <f>PROPER(Shoe_Sales[[#This Row],[Brand]])</f>
        <v>Nike</v>
      </c>
      <c r="I450" s="2" t="s">
        <v>16</v>
      </c>
      <c r="J450" s="3">
        <v>1</v>
      </c>
      <c r="K450" s="2" t="s">
        <v>81</v>
      </c>
      <c r="L450" s="12">
        <f>VLOOKUP(Shoe_Sales[[#This Row],[Product Cleaned]],Price!$A$2:$C$9,2,FALSE)</f>
        <v>119</v>
      </c>
      <c r="M450" s="12">
        <f>VLOOKUP(Shoe_Sales[[#This Row],[Product Cleaned]],Price!$A$2:$C$9,3,0)</f>
        <v>67</v>
      </c>
      <c r="N450" s="12">
        <f>(Shoe_Sales[[#This Row],[Quantity]]*Shoe_Sales[[#This Row],[Selling Price]])</f>
        <v>119</v>
      </c>
      <c r="O450" s="12">
        <f>(Shoe_Sales[[#This Row],[Quantity]]*Shoe_Sales[[#This Row],[Cost Price]])</f>
        <v>67</v>
      </c>
      <c r="P450" s="12">
        <f>(Shoe_Sales[[#This Row],[Revenue]]-Shoe_Sales[[#This Row],[Cost]])</f>
        <v>52</v>
      </c>
      <c r="Q450" s="15">
        <f>(Shoe_Sales[[#This Row],[Profit]]/Shoe_Sales[[#This Row],[Revenue]])</f>
        <v>0.43697478991596639</v>
      </c>
    </row>
    <row r="451" spans="1:17" x14ac:dyDescent="0.25">
      <c r="A451" s="9">
        <v>46238</v>
      </c>
      <c r="B451" s="4" t="s">
        <v>71</v>
      </c>
      <c r="C451" s="2" t="str">
        <f t="shared" si="14"/>
        <v>Boots</v>
      </c>
      <c r="D451" s="4" t="s">
        <v>33</v>
      </c>
      <c r="E451" s="2" t="str">
        <f t="shared" ref="E451:E501" si="15">PROPER(D451)</f>
        <v>Formal</v>
      </c>
      <c r="F451" s="4" t="s">
        <v>19</v>
      </c>
      <c r="G451" s="4" t="s">
        <v>53</v>
      </c>
      <c r="H451" s="4" t="str">
        <f>PROPER(Shoe_Sales[[#This Row],[Brand]])</f>
        <v>Zara</v>
      </c>
      <c r="I451" s="4" t="s">
        <v>35</v>
      </c>
      <c r="J451" s="5">
        <v>5</v>
      </c>
      <c r="K451" s="4" t="s">
        <v>81</v>
      </c>
      <c r="L451" s="12">
        <f>VLOOKUP(Shoe_Sales[[#This Row],[Product Cleaned]],Price!$A$2:$C$9,2,FALSE)</f>
        <v>76</v>
      </c>
      <c r="M451" s="12">
        <f>VLOOKUP(Shoe_Sales[[#This Row],[Product Cleaned]],Price!$A$2:$C$9,3,0)</f>
        <v>39</v>
      </c>
      <c r="N451" s="12">
        <f>(Shoe_Sales[[#This Row],[Quantity]]*Shoe_Sales[[#This Row],[Selling Price]])</f>
        <v>380</v>
      </c>
      <c r="O451" s="12">
        <f>(Shoe_Sales[[#This Row],[Quantity]]*Shoe_Sales[[#This Row],[Cost Price]])</f>
        <v>195</v>
      </c>
      <c r="P451" s="12">
        <f>(Shoe_Sales[[#This Row],[Revenue]]-Shoe_Sales[[#This Row],[Cost]])</f>
        <v>185</v>
      </c>
      <c r="Q451" s="15">
        <f>(Shoe_Sales[[#This Row],[Profit]]/Shoe_Sales[[#This Row],[Revenue]])</f>
        <v>0.48684210526315791</v>
      </c>
    </row>
    <row r="452" spans="1:17" x14ac:dyDescent="0.25">
      <c r="A452" s="8">
        <v>46200</v>
      </c>
      <c r="B452" s="2" t="s">
        <v>75</v>
      </c>
      <c r="C452" s="2" t="str">
        <f t="shared" si="14"/>
        <v>Brogues</v>
      </c>
      <c r="D452" s="2" t="s">
        <v>39</v>
      </c>
      <c r="E452" s="2" t="str">
        <f t="shared" si="15"/>
        <v>Formal</v>
      </c>
      <c r="F452" s="2" t="s">
        <v>14</v>
      </c>
      <c r="G452" s="2" t="s">
        <v>40</v>
      </c>
      <c r="H452" s="2" t="str">
        <f>PROPER(Shoe_Sales[[#This Row],[Brand]])</f>
        <v>Zara</v>
      </c>
      <c r="I452" s="2" t="s">
        <v>50</v>
      </c>
      <c r="J452" s="3">
        <v>5</v>
      </c>
      <c r="K452" s="2" t="s">
        <v>81</v>
      </c>
      <c r="L452" s="12">
        <f>VLOOKUP(Shoe_Sales[[#This Row],[Product Cleaned]],Price!$A$2:$C$9,2,FALSE)</f>
        <v>112</v>
      </c>
      <c r="M452" s="12">
        <f>VLOOKUP(Shoe_Sales[[#This Row],[Product Cleaned]],Price!$A$2:$C$9,3,0)</f>
        <v>64</v>
      </c>
      <c r="N452" s="12">
        <f>(Shoe_Sales[[#This Row],[Quantity]]*Shoe_Sales[[#This Row],[Selling Price]])</f>
        <v>560</v>
      </c>
      <c r="O452" s="12">
        <f>(Shoe_Sales[[#This Row],[Quantity]]*Shoe_Sales[[#This Row],[Cost Price]])</f>
        <v>320</v>
      </c>
      <c r="P452" s="12">
        <f>(Shoe_Sales[[#This Row],[Revenue]]-Shoe_Sales[[#This Row],[Cost]])</f>
        <v>240</v>
      </c>
      <c r="Q452" s="15">
        <f>(Shoe_Sales[[#This Row],[Profit]]/Shoe_Sales[[#This Row],[Revenue]])</f>
        <v>0.42857142857142855</v>
      </c>
    </row>
    <row r="453" spans="1:17" x14ac:dyDescent="0.25">
      <c r="A453" s="9">
        <v>46030</v>
      </c>
      <c r="B453" s="4" t="s">
        <v>36</v>
      </c>
      <c r="C453" s="2" t="str">
        <f t="shared" si="14"/>
        <v>Brogues</v>
      </c>
      <c r="D453" s="4" t="s">
        <v>33</v>
      </c>
      <c r="E453" s="2" t="str">
        <f t="shared" si="15"/>
        <v>Formal</v>
      </c>
      <c r="F453" s="4" t="s">
        <v>24</v>
      </c>
      <c r="G453" s="4" t="s">
        <v>15</v>
      </c>
      <c r="H453" s="4" t="str">
        <f>PROPER(Shoe_Sales[[#This Row],[Brand]])</f>
        <v>Steve Madden</v>
      </c>
      <c r="I453" s="4" t="s">
        <v>21</v>
      </c>
      <c r="J453" s="5">
        <v>3</v>
      </c>
      <c r="K453" s="4" t="s">
        <v>81</v>
      </c>
      <c r="L453" s="12">
        <f>VLOOKUP(Shoe_Sales[[#This Row],[Product Cleaned]],Price!$A$2:$C$9,2,FALSE)</f>
        <v>112</v>
      </c>
      <c r="M453" s="12">
        <f>VLOOKUP(Shoe_Sales[[#This Row],[Product Cleaned]],Price!$A$2:$C$9,3,0)</f>
        <v>64</v>
      </c>
      <c r="N453" s="12">
        <f>(Shoe_Sales[[#This Row],[Quantity]]*Shoe_Sales[[#This Row],[Selling Price]])</f>
        <v>336</v>
      </c>
      <c r="O453" s="12">
        <f>(Shoe_Sales[[#This Row],[Quantity]]*Shoe_Sales[[#This Row],[Cost Price]])</f>
        <v>192</v>
      </c>
      <c r="P453" s="12">
        <f>(Shoe_Sales[[#This Row],[Revenue]]-Shoe_Sales[[#This Row],[Cost]])</f>
        <v>144</v>
      </c>
      <c r="Q453" s="15">
        <f>(Shoe_Sales[[#This Row],[Profit]]/Shoe_Sales[[#This Row],[Revenue]])</f>
        <v>0.42857142857142855</v>
      </c>
    </row>
    <row r="454" spans="1:17" x14ac:dyDescent="0.25">
      <c r="A454" s="8">
        <v>46226</v>
      </c>
      <c r="B454" s="2" t="s">
        <v>62</v>
      </c>
      <c r="C454" s="2" t="str">
        <f t="shared" si="14"/>
        <v>Brogues</v>
      </c>
      <c r="D454" s="2" t="s">
        <v>8</v>
      </c>
      <c r="E454" s="2" t="str">
        <f t="shared" si="15"/>
        <v>Formal</v>
      </c>
      <c r="F454" s="2" t="s">
        <v>24</v>
      </c>
      <c r="G454" s="2" t="s">
        <v>66</v>
      </c>
      <c r="H454" s="2" t="str">
        <f>PROPER(Shoe_Sales[[#This Row],[Brand]])</f>
        <v>Steve Madden</v>
      </c>
      <c r="I454" s="2" t="s">
        <v>41</v>
      </c>
      <c r="J454" s="3">
        <v>11</v>
      </c>
      <c r="K454" s="2" t="s">
        <v>79</v>
      </c>
      <c r="L454" s="12">
        <f>VLOOKUP(Shoe_Sales[[#This Row],[Product Cleaned]],Price!$A$2:$C$9,2,FALSE)</f>
        <v>112</v>
      </c>
      <c r="M454" s="12">
        <f>VLOOKUP(Shoe_Sales[[#This Row],[Product Cleaned]],Price!$A$2:$C$9,3,0)</f>
        <v>64</v>
      </c>
      <c r="N454" s="12">
        <f>(Shoe_Sales[[#This Row],[Quantity]]*Shoe_Sales[[#This Row],[Selling Price]])</f>
        <v>1232</v>
      </c>
      <c r="O454" s="12">
        <f>(Shoe_Sales[[#This Row],[Quantity]]*Shoe_Sales[[#This Row],[Cost Price]])</f>
        <v>704</v>
      </c>
      <c r="P454" s="12">
        <f>(Shoe_Sales[[#This Row],[Revenue]]-Shoe_Sales[[#This Row],[Cost]])</f>
        <v>528</v>
      </c>
      <c r="Q454" s="15">
        <f>(Shoe_Sales[[#This Row],[Profit]]/Shoe_Sales[[#This Row],[Revenue]])</f>
        <v>0.42857142857142855</v>
      </c>
    </row>
    <row r="455" spans="1:17" x14ac:dyDescent="0.25">
      <c r="A455" s="9">
        <v>46235</v>
      </c>
      <c r="B455" s="4" t="s">
        <v>27</v>
      </c>
      <c r="C455" s="2" t="str">
        <f t="shared" si="14"/>
        <v>Boots</v>
      </c>
      <c r="D455" s="4" t="s">
        <v>23</v>
      </c>
      <c r="E455" s="2" t="str">
        <f t="shared" si="15"/>
        <v>Casual</v>
      </c>
      <c r="F455" s="4" t="s">
        <v>9</v>
      </c>
      <c r="G455" s="4" t="s">
        <v>60</v>
      </c>
      <c r="H455" s="4" t="str">
        <f>PROPER(Shoe_Sales[[#This Row],[Brand]])</f>
        <v>Clarks</v>
      </c>
      <c r="I455" s="4" t="s">
        <v>35</v>
      </c>
      <c r="J455" s="5">
        <v>9</v>
      </c>
      <c r="K455" s="4" t="s">
        <v>82</v>
      </c>
      <c r="L455" s="12">
        <f>VLOOKUP(Shoe_Sales[[#This Row],[Product Cleaned]],Price!$A$2:$C$9,2,FALSE)</f>
        <v>76</v>
      </c>
      <c r="M455" s="12">
        <f>VLOOKUP(Shoe_Sales[[#This Row],[Product Cleaned]],Price!$A$2:$C$9,3,0)</f>
        <v>39</v>
      </c>
      <c r="N455" s="12">
        <f>(Shoe_Sales[[#This Row],[Quantity]]*Shoe_Sales[[#This Row],[Selling Price]])</f>
        <v>684</v>
      </c>
      <c r="O455" s="12">
        <f>(Shoe_Sales[[#This Row],[Quantity]]*Shoe_Sales[[#This Row],[Cost Price]])</f>
        <v>351</v>
      </c>
      <c r="P455" s="12">
        <f>(Shoe_Sales[[#This Row],[Revenue]]-Shoe_Sales[[#This Row],[Cost]])</f>
        <v>333</v>
      </c>
      <c r="Q455" s="15">
        <f>(Shoe_Sales[[#This Row],[Profit]]/Shoe_Sales[[#This Row],[Revenue]])</f>
        <v>0.48684210526315791</v>
      </c>
    </row>
    <row r="456" spans="1:17" x14ac:dyDescent="0.25">
      <c r="A456" s="8">
        <v>46223</v>
      </c>
      <c r="B456" s="2" t="s">
        <v>32</v>
      </c>
      <c r="C456" s="2" t="str">
        <f t="shared" si="14"/>
        <v>Oxford</v>
      </c>
      <c r="D456" s="2" t="s">
        <v>39</v>
      </c>
      <c r="E456" s="2" t="str">
        <f t="shared" si="15"/>
        <v>Formal</v>
      </c>
      <c r="F456" s="2" t="s">
        <v>24</v>
      </c>
      <c r="G456" s="2" t="s">
        <v>40</v>
      </c>
      <c r="H456" s="2" t="str">
        <f>PROPER(Shoe_Sales[[#This Row],[Brand]])</f>
        <v>Zara</v>
      </c>
      <c r="I456" s="2" t="s">
        <v>31</v>
      </c>
      <c r="J456" s="3">
        <v>15</v>
      </c>
      <c r="K456" s="2" t="s">
        <v>79</v>
      </c>
      <c r="L456" s="12">
        <f>VLOOKUP(Shoe_Sales[[#This Row],[Product Cleaned]],Price!$A$2:$C$9,2,FALSE)</f>
        <v>105</v>
      </c>
      <c r="M456" s="12">
        <f>VLOOKUP(Shoe_Sales[[#This Row],[Product Cleaned]],Price!$A$2:$C$9,3,0)</f>
        <v>58</v>
      </c>
      <c r="N456" s="12">
        <f>(Shoe_Sales[[#This Row],[Quantity]]*Shoe_Sales[[#This Row],[Selling Price]])</f>
        <v>1575</v>
      </c>
      <c r="O456" s="12">
        <f>(Shoe_Sales[[#This Row],[Quantity]]*Shoe_Sales[[#This Row],[Cost Price]])</f>
        <v>870</v>
      </c>
      <c r="P456" s="12">
        <f>(Shoe_Sales[[#This Row],[Revenue]]-Shoe_Sales[[#This Row],[Cost]])</f>
        <v>705</v>
      </c>
      <c r="Q456" s="15">
        <f>(Shoe_Sales[[#This Row],[Profit]]/Shoe_Sales[[#This Row],[Revenue]])</f>
        <v>0.44761904761904764</v>
      </c>
    </row>
    <row r="457" spans="1:17" x14ac:dyDescent="0.25">
      <c r="A457" s="9">
        <v>46049</v>
      </c>
      <c r="B457" s="4" t="s">
        <v>76</v>
      </c>
      <c r="C457" s="2" t="str">
        <f t="shared" si="14"/>
        <v>Monk Straps</v>
      </c>
      <c r="D457" s="4" t="s">
        <v>23</v>
      </c>
      <c r="E457" s="2" t="str">
        <f t="shared" si="15"/>
        <v>Casual</v>
      </c>
      <c r="F457" s="4" t="s">
        <v>24</v>
      </c>
      <c r="G457" s="4" t="s">
        <v>40</v>
      </c>
      <c r="H457" s="4" t="str">
        <f>PROPER(Shoe_Sales[[#This Row],[Brand]])</f>
        <v>Zara</v>
      </c>
      <c r="I457" s="4" t="s">
        <v>26</v>
      </c>
      <c r="J457" s="5">
        <v>10</v>
      </c>
      <c r="K457" s="4" t="s">
        <v>81</v>
      </c>
      <c r="L457" s="12">
        <f>VLOOKUP(Shoe_Sales[[#This Row],[Product Cleaned]],Price!$A$2:$C$9,2,FALSE)</f>
        <v>89</v>
      </c>
      <c r="M457" s="12">
        <f>VLOOKUP(Shoe_Sales[[#This Row],[Product Cleaned]],Price!$A$2:$C$9,3,0)</f>
        <v>47</v>
      </c>
      <c r="N457" s="12">
        <f>(Shoe_Sales[[#This Row],[Quantity]]*Shoe_Sales[[#This Row],[Selling Price]])</f>
        <v>890</v>
      </c>
      <c r="O457" s="12">
        <f>(Shoe_Sales[[#This Row],[Quantity]]*Shoe_Sales[[#This Row],[Cost Price]])</f>
        <v>470</v>
      </c>
      <c r="P457" s="12">
        <f>(Shoe_Sales[[#This Row],[Revenue]]-Shoe_Sales[[#This Row],[Cost]])</f>
        <v>420</v>
      </c>
      <c r="Q457" s="15">
        <f>(Shoe_Sales[[#This Row],[Profit]]/Shoe_Sales[[#This Row],[Revenue]])</f>
        <v>0.47191011235955055</v>
      </c>
    </row>
    <row r="458" spans="1:17" x14ac:dyDescent="0.25">
      <c r="A458" s="8">
        <v>46083</v>
      </c>
      <c r="B458" s="2" t="s">
        <v>17</v>
      </c>
      <c r="C458" s="2" t="str">
        <f t="shared" si="14"/>
        <v>Slippers</v>
      </c>
      <c r="D458" s="2" t="s">
        <v>8</v>
      </c>
      <c r="E458" s="2" t="str">
        <f t="shared" si="15"/>
        <v>Formal</v>
      </c>
      <c r="F458" s="2" t="s">
        <v>14</v>
      </c>
      <c r="G458" s="2" t="s">
        <v>40</v>
      </c>
      <c r="H458" s="2" t="str">
        <f>PROPER(Shoe_Sales[[#This Row],[Brand]])</f>
        <v>Zara</v>
      </c>
      <c r="I458" s="2" t="s">
        <v>46</v>
      </c>
      <c r="J458" s="3">
        <v>5</v>
      </c>
      <c r="K458" s="2" t="s">
        <v>81</v>
      </c>
      <c r="L458" s="12">
        <f>VLOOKUP(Shoe_Sales[[#This Row],[Product Cleaned]],Price!$A$2:$C$9,2,FALSE)</f>
        <v>119</v>
      </c>
      <c r="M458" s="12">
        <f>VLOOKUP(Shoe_Sales[[#This Row],[Product Cleaned]],Price!$A$2:$C$9,3,0)</f>
        <v>67</v>
      </c>
      <c r="N458" s="12">
        <f>(Shoe_Sales[[#This Row],[Quantity]]*Shoe_Sales[[#This Row],[Selling Price]])</f>
        <v>595</v>
      </c>
      <c r="O458" s="12">
        <f>(Shoe_Sales[[#This Row],[Quantity]]*Shoe_Sales[[#This Row],[Cost Price]])</f>
        <v>335</v>
      </c>
      <c r="P458" s="12">
        <f>(Shoe_Sales[[#This Row],[Revenue]]-Shoe_Sales[[#This Row],[Cost]])</f>
        <v>260</v>
      </c>
      <c r="Q458" s="15">
        <f>(Shoe_Sales[[#This Row],[Profit]]/Shoe_Sales[[#This Row],[Revenue]])</f>
        <v>0.43697478991596639</v>
      </c>
    </row>
    <row r="459" spans="1:17" x14ac:dyDescent="0.25">
      <c r="A459" s="9">
        <v>46160</v>
      </c>
      <c r="B459" s="4" t="s">
        <v>17</v>
      </c>
      <c r="C459" s="2" t="str">
        <f t="shared" si="14"/>
        <v>Slippers</v>
      </c>
      <c r="D459" s="4" t="s">
        <v>33</v>
      </c>
      <c r="E459" s="2" t="str">
        <f t="shared" si="15"/>
        <v>Formal</v>
      </c>
      <c r="F459" s="4" t="s">
        <v>29</v>
      </c>
      <c r="G459" s="4" t="s">
        <v>10</v>
      </c>
      <c r="H459" s="4" t="str">
        <f>PROPER(Shoe_Sales[[#This Row],[Brand]])</f>
        <v>Clarks</v>
      </c>
      <c r="I459" s="4" t="s">
        <v>50</v>
      </c>
      <c r="J459" s="5">
        <v>9</v>
      </c>
      <c r="K459" s="4" t="s">
        <v>81</v>
      </c>
      <c r="L459" s="12">
        <f>VLOOKUP(Shoe_Sales[[#This Row],[Product Cleaned]],Price!$A$2:$C$9,2,FALSE)</f>
        <v>119</v>
      </c>
      <c r="M459" s="12">
        <f>VLOOKUP(Shoe_Sales[[#This Row],[Product Cleaned]],Price!$A$2:$C$9,3,0)</f>
        <v>67</v>
      </c>
      <c r="N459" s="12">
        <f>(Shoe_Sales[[#This Row],[Quantity]]*Shoe_Sales[[#This Row],[Selling Price]])</f>
        <v>1071</v>
      </c>
      <c r="O459" s="12">
        <f>(Shoe_Sales[[#This Row],[Quantity]]*Shoe_Sales[[#This Row],[Cost Price]])</f>
        <v>603</v>
      </c>
      <c r="P459" s="12">
        <f>(Shoe_Sales[[#This Row],[Revenue]]-Shoe_Sales[[#This Row],[Cost]])</f>
        <v>468</v>
      </c>
      <c r="Q459" s="15">
        <f>(Shoe_Sales[[#This Row],[Profit]]/Shoe_Sales[[#This Row],[Revenue]])</f>
        <v>0.43697478991596639</v>
      </c>
    </row>
    <row r="460" spans="1:17" x14ac:dyDescent="0.25">
      <c r="A460" s="8">
        <v>46220</v>
      </c>
      <c r="B460" s="2" t="s">
        <v>38</v>
      </c>
      <c r="C460" s="2" t="str">
        <f t="shared" si="14"/>
        <v>Monk Straps</v>
      </c>
      <c r="D460" s="2" t="s">
        <v>33</v>
      </c>
      <c r="E460" s="2" t="str">
        <f t="shared" si="15"/>
        <v>Formal</v>
      </c>
      <c r="F460" s="2" t="s">
        <v>9</v>
      </c>
      <c r="G460" s="2" t="s">
        <v>34</v>
      </c>
      <c r="H460" s="2" t="str">
        <f>PROPER(Shoe_Sales[[#This Row],[Brand]])</f>
        <v>Clarks</v>
      </c>
      <c r="I460" s="2" t="s">
        <v>43</v>
      </c>
      <c r="J460" s="3">
        <v>1</v>
      </c>
      <c r="K460" s="2" t="s">
        <v>81</v>
      </c>
      <c r="L460" s="12">
        <f>VLOOKUP(Shoe_Sales[[#This Row],[Product Cleaned]],Price!$A$2:$C$9,2,FALSE)</f>
        <v>89</v>
      </c>
      <c r="M460" s="12">
        <f>VLOOKUP(Shoe_Sales[[#This Row],[Product Cleaned]],Price!$A$2:$C$9,3,0)</f>
        <v>47</v>
      </c>
      <c r="N460" s="12">
        <f>(Shoe_Sales[[#This Row],[Quantity]]*Shoe_Sales[[#This Row],[Selling Price]])</f>
        <v>89</v>
      </c>
      <c r="O460" s="12">
        <f>(Shoe_Sales[[#This Row],[Quantity]]*Shoe_Sales[[#This Row],[Cost Price]])</f>
        <v>47</v>
      </c>
      <c r="P460" s="12">
        <f>(Shoe_Sales[[#This Row],[Revenue]]-Shoe_Sales[[#This Row],[Cost]])</f>
        <v>42</v>
      </c>
      <c r="Q460" s="15">
        <f>(Shoe_Sales[[#This Row],[Profit]]/Shoe_Sales[[#This Row],[Revenue]])</f>
        <v>0.47191011235955055</v>
      </c>
    </row>
    <row r="461" spans="1:17" x14ac:dyDescent="0.25">
      <c r="A461" s="9">
        <v>46094</v>
      </c>
      <c r="B461" s="4" t="s">
        <v>27</v>
      </c>
      <c r="C461" s="2" t="str">
        <f t="shared" si="14"/>
        <v>Boots</v>
      </c>
      <c r="D461" s="4" t="s">
        <v>13</v>
      </c>
      <c r="E461" s="2" t="str">
        <f t="shared" si="15"/>
        <v>Casual</v>
      </c>
      <c r="F461" s="4" t="s">
        <v>24</v>
      </c>
      <c r="G461" s="4" t="s">
        <v>10</v>
      </c>
      <c r="H461" s="4" t="str">
        <f>PROPER(Shoe_Sales[[#This Row],[Brand]])</f>
        <v>Clarks</v>
      </c>
      <c r="I461" s="4" t="s">
        <v>54</v>
      </c>
      <c r="J461" s="5">
        <v>8</v>
      </c>
      <c r="K461" s="4" t="s">
        <v>80</v>
      </c>
      <c r="L461" s="12">
        <f>VLOOKUP(Shoe_Sales[[#This Row],[Product Cleaned]],Price!$A$2:$C$9,2,FALSE)</f>
        <v>76</v>
      </c>
      <c r="M461" s="12">
        <f>VLOOKUP(Shoe_Sales[[#This Row],[Product Cleaned]],Price!$A$2:$C$9,3,0)</f>
        <v>39</v>
      </c>
      <c r="N461" s="12">
        <f>(Shoe_Sales[[#This Row],[Quantity]]*Shoe_Sales[[#This Row],[Selling Price]])</f>
        <v>608</v>
      </c>
      <c r="O461" s="12">
        <f>(Shoe_Sales[[#This Row],[Quantity]]*Shoe_Sales[[#This Row],[Cost Price]])</f>
        <v>312</v>
      </c>
      <c r="P461" s="12">
        <f>(Shoe_Sales[[#This Row],[Revenue]]-Shoe_Sales[[#This Row],[Cost]])</f>
        <v>296</v>
      </c>
      <c r="Q461" s="15">
        <f>(Shoe_Sales[[#This Row],[Profit]]/Shoe_Sales[[#This Row],[Revenue]])</f>
        <v>0.48684210526315791</v>
      </c>
    </row>
    <row r="462" spans="1:17" x14ac:dyDescent="0.25">
      <c r="A462" s="8">
        <v>46177</v>
      </c>
      <c r="B462" s="2" t="s">
        <v>32</v>
      </c>
      <c r="C462" s="2" t="str">
        <f t="shared" si="14"/>
        <v>Oxford</v>
      </c>
      <c r="D462" s="2" t="s">
        <v>18</v>
      </c>
      <c r="E462" s="2" t="str">
        <f t="shared" si="15"/>
        <v>Open</v>
      </c>
      <c r="F462" s="2" t="s">
        <v>29</v>
      </c>
      <c r="G462" s="2" t="s">
        <v>10</v>
      </c>
      <c r="H462" s="2" t="str">
        <f>PROPER(Shoe_Sales[[#This Row],[Brand]])</f>
        <v>Clarks</v>
      </c>
      <c r="I462" s="2" t="s">
        <v>37</v>
      </c>
      <c r="J462" s="3">
        <v>8</v>
      </c>
      <c r="K462" s="2" t="s">
        <v>82</v>
      </c>
      <c r="L462" s="12">
        <f>VLOOKUP(Shoe_Sales[[#This Row],[Product Cleaned]],Price!$A$2:$C$9,2,FALSE)</f>
        <v>105</v>
      </c>
      <c r="M462" s="12">
        <f>VLOOKUP(Shoe_Sales[[#This Row],[Product Cleaned]],Price!$A$2:$C$9,3,0)</f>
        <v>58</v>
      </c>
      <c r="N462" s="12">
        <f>(Shoe_Sales[[#This Row],[Quantity]]*Shoe_Sales[[#This Row],[Selling Price]])</f>
        <v>840</v>
      </c>
      <c r="O462" s="12">
        <f>(Shoe_Sales[[#This Row],[Quantity]]*Shoe_Sales[[#This Row],[Cost Price]])</f>
        <v>464</v>
      </c>
      <c r="P462" s="12">
        <f>(Shoe_Sales[[#This Row],[Revenue]]-Shoe_Sales[[#This Row],[Cost]])</f>
        <v>376</v>
      </c>
      <c r="Q462" s="15">
        <f>(Shoe_Sales[[#This Row],[Profit]]/Shoe_Sales[[#This Row],[Revenue]])</f>
        <v>0.44761904761904764</v>
      </c>
    </row>
    <row r="463" spans="1:17" x14ac:dyDescent="0.25">
      <c r="A463" s="9">
        <v>46231</v>
      </c>
      <c r="B463" s="4" t="s">
        <v>42</v>
      </c>
      <c r="C463" s="2" t="str">
        <f t="shared" si="14"/>
        <v>Derby</v>
      </c>
      <c r="D463" s="4" t="s">
        <v>18</v>
      </c>
      <c r="E463" s="2" t="str">
        <f t="shared" si="15"/>
        <v>Open</v>
      </c>
      <c r="F463" s="4" t="s">
        <v>19</v>
      </c>
      <c r="G463" s="4" t="s">
        <v>34</v>
      </c>
      <c r="H463" s="4" t="str">
        <f>PROPER(Shoe_Sales[[#This Row],[Brand]])</f>
        <v>Clarks</v>
      </c>
      <c r="I463" s="4" t="s">
        <v>46</v>
      </c>
      <c r="J463" s="5">
        <v>9</v>
      </c>
      <c r="K463" s="4" t="s">
        <v>80</v>
      </c>
      <c r="L463" s="12">
        <f>VLOOKUP(Shoe_Sales[[#This Row],[Product Cleaned]],Price!$A$2:$C$9,2,FALSE)</f>
        <v>32</v>
      </c>
      <c r="M463" s="12">
        <f>VLOOKUP(Shoe_Sales[[#This Row],[Product Cleaned]],Price!$A$2:$C$9,3,0)</f>
        <v>14</v>
      </c>
      <c r="N463" s="12">
        <f>(Shoe_Sales[[#This Row],[Quantity]]*Shoe_Sales[[#This Row],[Selling Price]])</f>
        <v>288</v>
      </c>
      <c r="O463" s="12">
        <f>(Shoe_Sales[[#This Row],[Quantity]]*Shoe_Sales[[#This Row],[Cost Price]])</f>
        <v>126</v>
      </c>
      <c r="P463" s="12">
        <f>(Shoe_Sales[[#This Row],[Revenue]]-Shoe_Sales[[#This Row],[Cost]])</f>
        <v>162</v>
      </c>
      <c r="Q463" s="15">
        <f>(Shoe_Sales[[#This Row],[Profit]]/Shoe_Sales[[#This Row],[Revenue]])</f>
        <v>0.5625</v>
      </c>
    </row>
    <row r="464" spans="1:17" x14ac:dyDescent="0.25">
      <c r="A464" s="8">
        <v>46203</v>
      </c>
      <c r="B464" s="2" t="s">
        <v>75</v>
      </c>
      <c r="C464" s="2" t="str">
        <f t="shared" si="14"/>
        <v>Brogues</v>
      </c>
      <c r="D464" s="2" t="s">
        <v>23</v>
      </c>
      <c r="E464" s="2" t="str">
        <f t="shared" si="15"/>
        <v>Casual</v>
      </c>
      <c r="F464" s="2" t="s">
        <v>9</v>
      </c>
      <c r="G464" s="2" t="s">
        <v>20</v>
      </c>
      <c r="H464" s="2" t="str">
        <f>PROPER(Shoe_Sales[[#This Row],[Brand]])</f>
        <v>Nike</v>
      </c>
      <c r="I464" s="2" t="s">
        <v>58</v>
      </c>
      <c r="J464" s="3">
        <v>10</v>
      </c>
      <c r="K464" s="2" t="s">
        <v>79</v>
      </c>
      <c r="L464" s="12">
        <f>VLOOKUP(Shoe_Sales[[#This Row],[Product Cleaned]],Price!$A$2:$C$9,2,FALSE)</f>
        <v>112</v>
      </c>
      <c r="M464" s="12">
        <f>VLOOKUP(Shoe_Sales[[#This Row],[Product Cleaned]],Price!$A$2:$C$9,3,0)</f>
        <v>64</v>
      </c>
      <c r="N464" s="12">
        <f>(Shoe_Sales[[#This Row],[Quantity]]*Shoe_Sales[[#This Row],[Selling Price]])</f>
        <v>1120</v>
      </c>
      <c r="O464" s="12">
        <f>(Shoe_Sales[[#This Row],[Quantity]]*Shoe_Sales[[#This Row],[Cost Price]])</f>
        <v>640</v>
      </c>
      <c r="P464" s="12">
        <f>(Shoe_Sales[[#This Row],[Revenue]]-Shoe_Sales[[#This Row],[Cost]])</f>
        <v>480</v>
      </c>
      <c r="Q464" s="15">
        <f>(Shoe_Sales[[#This Row],[Profit]]/Shoe_Sales[[#This Row],[Revenue]])</f>
        <v>0.42857142857142855</v>
      </c>
    </row>
    <row r="465" spans="1:17" x14ac:dyDescent="0.25">
      <c r="A465" s="9">
        <v>46238</v>
      </c>
      <c r="B465" s="4" t="s">
        <v>44</v>
      </c>
      <c r="C465" s="2" t="str">
        <f t="shared" si="14"/>
        <v>Canvas</v>
      </c>
      <c r="D465" s="4" t="s">
        <v>18</v>
      </c>
      <c r="E465" s="2" t="str">
        <f t="shared" si="15"/>
        <v>Open</v>
      </c>
      <c r="F465" s="4" t="s">
        <v>29</v>
      </c>
      <c r="G465" s="4" t="s">
        <v>10</v>
      </c>
      <c r="H465" s="4" t="str">
        <f>PROPER(Shoe_Sales[[#This Row],[Brand]])</f>
        <v>Clarks</v>
      </c>
      <c r="I465" s="4" t="s">
        <v>21</v>
      </c>
      <c r="J465" s="5">
        <v>6</v>
      </c>
      <c r="K465" s="4" t="s">
        <v>80</v>
      </c>
      <c r="L465" s="12">
        <f>VLOOKUP(Shoe_Sales[[#This Row],[Product Cleaned]],Price!$A$2:$C$9,2,FALSE)</f>
        <v>128</v>
      </c>
      <c r="M465" s="12">
        <f>VLOOKUP(Shoe_Sales[[#This Row],[Product Cleaned]],Price!$A$2:$C$9,3,0)</f>
        <v>72</v>
      </c>
      <c r="N465" s="12">
        <f>(Shoe_Sales[[#This Row],[Quantity]]*Shoe_Sales[[#This Row],[Selling Price]])</f>
        <v>768</v>
      </c>
      <c r="O465" s="12">
        <f>(Shoe_Sales[[#This Row],[Quantity]]*Shoe_Sales[[#This Row],[Cost Price]])</f>
        <v>432</v>
      </c>
      <c r="P465" s="12">
        <f>(Shoe_Sales[[#This Row],[Revenue]]-Shoe_Sales[[#This Row],[Cost]])</f>
        <v>336</v>
      </c>
      <c r="Q465" s="15">
        <f>(Shoe_Sales[[#This Row],[Profit]]/Shoe_Sales[[#This Row],[Revenue]])</f>
        <v>0.4375</v>
      </c>
    </row>
    <row r="466" spans="1:17" x14ac:dyDescent="0.25">
      <c r="A466" s="8">
        <v>46177</v>
      </c>
      <c r="B466" s="2" t="s">
        <v>65</v>
      </c>
      <c r="C466" s="2" t="str">
        <f t="shared" si="14"/>
        <v>Canvas</v>
      </c>
      <c r="D466" s="2" t="s">
        <v>39</v>
      </c>
      <c r="E466" s="2" t="str">
        <f t="shared" si="15"/>
        <v>Formal</v>
      </c>
      <c r="F466" s="2" t="s">
        <v>29</v>
      </c>
      <c r="G466" s="2" t="s">
        <v>20</v>
      </c>
      <c r="H466" s="2" t="str">
        <f>PROPER(Shoe_Sales[[#This Row],[Brand]])</f>
        <v>Nike</v>
      </c>
      <c r="I466" s="2" t="s">
        <v>21</v>
      </c>
      <c r="J466" s="3">
        <v>4</v>
      </c>
      <c r="K466" s="2" t="s">
        <v>81</v>
      </c>
      <c r="L466" s="12">
        <f>VLOOKUP(Shoe_Sales[[#This Row],[Product Cleaned]],Price!$A$2:$C$9,2,FALSE)</f>
        <v>128</v>
      </c>
      <c r="M466" s="12">
        <f>VLOOKUP(Shoe_Sales[[#This Row],[Product Cleaned]],Price!$A$2:$C$9,3,0)</f>
        <v>72</v>
      </c>
      <c r="N466" s="12">
        <f>(Shoe_Sales[[#This Row],[Quantity]]*Shoe_Sales[[#This Row],[Selling Price]])</f>
        <v>512</v>
      </c>
      <c r="O466" s="12">
        <f>(Shoe_Sales[[#This Row],[Quantity]]*Shoe_Sales[[#This Row],[Cost Price]])</f>
        <v>288</v>
      </c>
      <c r="P466" s="12">
        <f>(Shoe_Sales[[#This Row],[Revenue]]-Shoe_Sales[[#This Row],[Cost]])</f>
        <v>224</v>
      </c>
      <c r="Q466" s="15">
        <f>(Shoe_Sales[[#This Row],[Profit]]/Shoe_Sales[[#This Row],[Revenue]])</f>
        <v>0.4375</v>
      </c>
    </row>
    <row r="467" spans="1:17" x14ac:dyDescent="0.25">
      <c r="A467" s="9">
        <v>46099</v>
      </c>
      <c r="B467" s="4" t="s">
        <v>38</v>
      </c>
      <c r="C467" s="2" t="str">
        <f t="shared" si="14"/>
        <v>Monk Straps</v>
      </c>
      <c r="D467" s="4" t="s">
        <v>39</v>
      </c>
      <c r="E467" s="2" t="str">
        <f t="shared" si="15"/>
        <v>Formal</v>
      </c>
      <c r="F467" s="4" t="s">
        <v>9</v>
      </c>
      <c r="G467" s="4" t="s">
        <v>57</v>
      </c>
      <c r="H467" s="4" t="str">
        <f>PROPER(Shoe_Sales[[#This Row],[Brand]])</f>
        <v>Timberland</v>
      </c>
      <c r="I467" s="4" t="s">
        <v>11</v>
      </c>
      <c r="J467" s="5">
        <v>4</v>
      </c>
      <c r="K467" s="4" t="s">
        <v>79</v>
      </c>
      <c r="L467" s="12">
        <f>VLOOKUP(Shoe_Sales[[#This Row],[Product Cleaned]],Price!$A$2:$C$9,2,FALSE)</f>
        <v>89</v>
      </c>
      <c r="M467" s="12">
        <f>VLOOKUP(Shoe_Sales[[#This Row],[Product Cleaned]],Price!$A$2:$C$9,3,0)</f>
        <v>47</v>
      </c>
      <c r="N467" s="12">
        <f>(Shoe_Sales[[#This Row],[Quantity]]*Shoe_Sales[[#This Row],[Selling Price]])</f>
        <v>356</v>
      </c>
      <c r="O467" s="12">
        <f>(Shoe_Sales[[#This Row],[Quantity]]*Shoe_Sales[[#This Row],[Cost Price]])</f>
        <v>188</v>
      </c>
      <c r="P467" s="12">
        <f>(Shoe_Sales[[#This Row],[Revenue]]-Shoe_Sales[[#This Row],[Cost]])</f>
        <v>168</v>
      </c>
      <c r="Q467" s="15">
        <f>(Shoe_Sales[[#This Row],[Profit]]/Shoe_Sales[[#This Row],[Revenue]])</f>
        <v>0.47191011235955055</v>
      </c>
    </row>
    <row r="468" spans="1:17" x14ac:dyDescent="0.25">
      <c r="A468" s="8">
        <v>46035</v>
      </c>
      <c r="B468" s="2" t="s">
        <v>55</v>
      </c>
      <c r="C468" s="2" t="str">
        <f t="shared" si="14"/>
        <v>Boots</v>
      </c>
      <c r="D468" s="2" t="s">
        <v>8</v>
      </c>
      <c r="E468" s="2" t="str">
        <f t="shared" si="15"/>
        <v>Formal</v>
      </c>
      <c r="F468" s="2" t="s">
        <v>19</v>
      </c>
      <c r="G468" s="2" t="s">
        <v>66</v>
      </c>
      <c r="H468" s="2" t="str">
        <f>PROPER(Shoe_Sales[[#This Row],[Brand]])</f>
        <v>Steve Madden</v>
      </c>
      <c r="I468" s="2" t="s">
        <v>31</v>
      </c>
      <c r="J468" s="3">
        <v>14</v>
      </c>
      <c r="K468" s="2" t="s">
        <v>79</v>
      </c>
      <c r="L468" s="12">
        <f>VLOOKUP(Shoe_Sales[[#This Row],[Product Cleaned]],Price!$A$2:$C$9,2,FALSE)</f>
        <v>76</v>
      </c>
      <c r="M468" s="12">
        <f>VLOOKUP(Shoe_Sales[[#This Row],[Product Cleaned]],Price!$A$2:$C$9,3,0)</f>
        <v>39</v>
      </c>
      <c r="N468" s="12">
        <f>(Shoe_Sales[[#This Row],[Quantity]]*Shoe_Sales[[#This Row],[Selling Price]])</f>
        <v>1064</v>
      </c>
      <c r="O468" s="12">
        <f>(Shoe_Sales[[#This Row],[Quantity]]*Shoe_Sales[[#This Row],[Cost Price]])</f>
        <v>546</v>
      </c>
      <c r="P468" s="12">
        <f>(Shoe_Sales[[#This Row],[Revenue]]-Shoe_Sales[[#This Row],[Cost]])</f>
        <v>518</v>
      </c>
      <c r="Q468" s="15">
        <f>(Shoe_Sales[[#This Row],[Profit]]/Shoe_Sales[[#This Row],[Revenue]])</f>
        <v>0.48684210526315791</v>
      </c>
    </row>
    <row r="469" spans="1:17" x14ac:dyDescent="0.25">
      <c r="A469" s="9">
        <v>46175</v>
      </c>
      <c r="B469" s="4" t="s">
        <v>62</v>
      </c>
      <c r="C469" s="2" t="str">
        <f t="shared" si="14"/>
        <v>Brogues</v>
      </c>
      <c r="D469" s="4" t="s">
        <v>39</v>
      </c>
      <c r="E469" s="2" t="str">
        <f t="shared" si="15"/>
        <v>Formal</v>
      </c>
      <c r="F469" s="4" t="s">
        <v>29</v>
      </c>
      <c r="G469" s="4" t="s">
        <v>66</v>
      </c>
      <c r="H469" s="4" t="str">
        <f>PROPER(Shoe_Sales[[#This Row],[Brand]])</f>
        <v>Steve Madden</v>
      </c>
      <c r="I469" s="4" t="s">
        <v>31</v>
      </c>
      <c r="J469" s="5">
        <v>8</v>
      </c>
      <c r="K469" s="4" t="s">
        <v>80</v>
      </c>
      <c r="L469" s="12">
        <f>VLOOKUP(Shoe_Sales[[#This Row],[Product Cleaned]],Price!$A$2:$C$9,2,FALSE)</f>
        <v>112</v>
      </c>
      <c r="M469" s="12">
        <f>VLOOKUP(Shoe_Sales[[#This Row],[Product Cleaned]],Price!$A$2:$C$9,3,0)</f>
        <v>64</v>
      </c>
      <c r="N469" s="12">
        <f>(Shoe_Sales[[#This Row],[Quantity]]*Shoe_Sales[[#This Row],[Selling Price]])</f>
        <v>896</v>
      </c>
      <c r="O469" s="12">
        <f>(Shoe_Sales[[#This Row],[Quantity]]*Shoe_Sales[[#This Row],[Cost Price]])</f>
        <v>512</v>
      </c>
      <c r="P469" s="12">
        <f>(Shoe_Sales[[#This Row],[Revenue]]-Shoe_Sales[[#This Row],[Cost]])</f>
        <v>384</v>
      </c>
      <c r="Q469" s="15">
        <f>(Shoe_Sales[[#This Row],[Profit]]/Shoe_Sales[[#This Row],[Revenue]])</f>
        <v>0.42857142857142855</v>
      </c>
    </row>
    <row r="470" spans="1:17" x14ac:dyDescent="0.25">
      <c r="A470" s="8">
        <v>46044</v>
      </c>
      <c r="B470" s="2" t="s">
        <v>27</v>
      </c>
      <c r="C470" s="2" t="str">
        <f t="shared" si="14"/>
        <v>Boots</v>
      </c>
      <c r="D470" s="2" t="s">
        <v>8</v>
      </c>
      <c r="E470" s="2" t="str">
        <f t="shared" si="15"/>
        <v>Formal</v>
      </c>
      <c r="F470" s="2" t="s">
        <v>9</v>
      </c>
      <c r="G470" s="2" t="s">
        <v>34</v>
      </c>
      <c r="H470" s="2" t="str">
        <f>PROPER(Shoe_Sales[[#This Row],[Brand]])</f>
        <v>Clarks</v>
      </c>
      <c r="I470" s="2" t="s">
        <v>31</v>
      </c>
      <c r="J470" s="3">
        <v>3</v>
      </c>
      <c r="K470" s="2" t="s">
        <v>80</v>
      </c>
      <c r="L470" s="12">
        <f>VLOOKUP(Shoe_Sales[[#This Row],[Product Cleaned]],Price!$A$2:$C$9,2,FALSE)</f>
        <v>76</v>
      </c>
      <c r="M470" s="12">
        <f>VLOOKUP(Shoe_Sales[[#This Row],[Product Cleaned]],Price!$A$2:$C$9,3,0)</f>
        <v>39</v>
      </c>
      <c r="N470" s="12">
        <f>(Shoe_Sales[[#This Row],[Quantity]]*Shoe_Sales[[#This Row],[Selling Price]])</f>
        <v>228</v>
      </c>
      <c r="O470" s="12">
        <f>(Shoe_Sales[[#This Row],[Quantity]]*Shoe_Sales[[#This Row],[Cost Price]])</f>
        <v>117</v>
      </c>
      <c r="P470" s="12">
        <f>(Shoe_Sales[[#This Row],[Revenue]]-Shoe_Sales[[#This Row],[Cost]])</f>
        <v>111</v>
      </c>
      <c r="Q470" s="15">
        <f>(Shoe_Sales[[#This Row],[Profit]]/Shoe_Sales[[#This Row],[Revenue]])</f>
        <v>0.48684210526315791</v>
      </c>
    </row>
    <row r="471" spans="1:17" x14ac:dyDescent="0.25">
      <c r="A471" s="9">
        <v>46142</v>
      </c>
      <c r="B471" s="4" t="s">
        <v>12</v>
      </c>
      <c r="C471" s="2" t="str">
        <f t="shared" si="14"/>
        <v>Canvas</v>
      </c>
      <c r="D471" s="4" t="s">
        <v>23</v>
      </c>
      <c r="E471" s="2" t="str">
        <f t="shared" si="15"/>
        <v>Casual</v>
      </c>
      <c r="F471" s="4" t="s">
        <v>19</v>
      </c>
      <c r="G471" s="4" t="s">
        <v>34</v>
      </c>
      <c r="H471" s="4" t="str">
        <f>PROPER(Shoe_Sales[[#This Row],[Brand]])</f>
        <v>Clarks</v>
      </c>
      <c r="I471" s="4" t="s">
        <v>46</v>
      </c>
      <c r="J471" s="5">
        <v>10</v>
      </c>
      <c r="K471" s="4" t="s">
        <v>79</v>
      </c>
      <c r="L471" s="12">
        <f>VLOOKUP(Shoe_Sales[[#This Row],[Product Cleaned]],Price!$A$2:$C$9,2,FALSE)</f>
        <v>128</v>
      </c>
      <c r="M471" s="12">
        <f>VLOOKUP(Shoe_Sales[[#This Row],[Product Cleaned]],Price!$A$2:$C$9,3,0)</f>
        <v>72</v>
      </c>
      <c r="N471" s="12">
        <f>(Shoe_Sales[[#This Row],[Quantity]]*Shoe_Sales[[#This Row],[Selling Price]])</f>
        <v>1280</v>
      </c>
      <c r="O471" s="12">
        <f>(Shoe_Sales[[#This Row],[Quantity]]*Shoe_Sales[[#This Row],[Cost Price]])</f>
        <v>720</v>
      </c>
      <c r="P471" s="12">
        <f>(Shoe_Sales[[#This Row],[Revenue]]-Shoe_Sales[[#This Row],[Cost]])</f>
        <v>560</v>
      </c>
      <c r="Q471" s="15">
        <f>(Shoe_Sales[[#This Row],[Profit]]/Shoe_Sales[[#This Row],[Revenue]])</f>
        <v>0.4375</v>
      </c>
    </row>
    <row r="472" spans="1:17" x14ac:dyDescent="0.25">
      <c r="A472" s="8">
        <v>46090</v>
      </c>
      <c r="B472" s="2" t="s">
        <v>22</v>
      </c>
      <c r="C472" s="2" t="str">
        <f t="shared" si="14"/>
        <v>Loafers</v>
      </c>
      <c r="D472" s="2" t="s">
        <v>56</v>
      </c>
      <c r="E472" s="2" t="str">
        <f t="shared" si="15"/>
        <v>Utility</v>
      </c>
      <c r="F472" s="2" t="s">
        <v>9</v>
      </c>
      <c r="G472" s="2" t="s">
        <v>60</v>
      </c>
      <c r="H472" s="2" t="str">
        <f>PROPER(Shoe_Sales[[#This Row],[Brand]])</f>
        <v>Clarks</v>
      </c>
      <c r="I472" s="2" t="s">
        <v>21</v>
      </c>
      <c r="J472" s="3">
        <v>7</v>
      </c>
      <c r="K472" s="2" t="s">
        <v>80</v>
      </c>
      <c r="L472" s="12">
        <f>VLOOKUP(Shoe_Sales[[#This Row],[Product Cleaned]],Price!$A$2:$C$9,2,FALSE)</f>
        <v>54</v>
      </c>
      <c r="M472" s="12">
        <f>VLOOKUP(Shoe_Sales[[#This Row],[Product Cleaned]],Price!$A$2:$C$9,3,0)</f>
        <v>28</v>
      </c>
      <c r="N472" s="12">
        <f>(Shoe_Sales[[#This Row],[Quantity]]*Shoe_Sales[[#This Row],[Selling Price]])</f>
        <v>378</v>
      </c>
      <c r="O472" s="12">
        <f>(Shoe_Sales[[#This Row],[Quantity]]*Shoe_Sales[[#This Row],[Cost Price]])</f>
        <v>196</v>
      </c>
      <c r="P472" s="12">
        <f>(Shoe_Sales[[#This Row],[Revenue]]-Shoe_Sales[[#This Row],[Cost]])</f>
        <v>182</v>
      </c>
      <c r="Q472" s="15">
        <f>(Shoe_Sales[[#This Row],[Profit]]/Shoe_Sales[[#This Row],[Revenue]])</f>
        <v>0.48148148148148145</v>
      </c>
    </row>
    <row r="473" spans="1:17" x14ac:dyDescent="0.25">
      <c r="A473" s="9">
        <v>46211</v>
      </c>
      <c r="B473" s="4" t="s">
        <v>17</v>
      </c>
      <c r="C473" s="2" t="str">
        <f t="shared" si="14"/>
        <v>Slippers</v>
      </c>
      <c r="D473" s="4" t="s">
        <v>39</v>
      </c>
      <c r="E473" s="2" t="str">
        <f t="shared" si="15"/>
        <v>Formal</v>
      </c>
      <c r="F473" s="4" t="s">
        <v>9</v>
      </c>
      <c r="G473" s="4" t="s">
        <v>69</v>
      </c>
      <c r="H473" s="4" t="str">
        <f>PROPER(Shoe_Sales[[#This Row],[Brand]])</f>
        <v>Nike</v>
      </c>
      <c r="I473" s="4" t="s">
        <v>31</v>
      </c>
      <c r="J473" s="5">
        <v>6</v>
      </c>
      <c r="K473" s="4" t="s">
        <v>82</v>
      </c>
      <c r="L473" s="12">
        <f>VLOOKUP(Shoe_Sales[[#This Row],[Product Cleaned]],Price!$A$2:$C$9,2,FALSE)</f>
        <v>119</v>
      </c>
      <c r="M473" s="12">
        <f>VLOOKUP(Shoe_Sales[[#This Row],[Product Cleaned]],Price!$A$2:$C$9,3,0)</f>
        <v>67</v>
      </c>
      <c r="N473" s="12">
        <f>(Shoe_Sales[[#This Row],[Quantity]]*Shoe_Sales[[#This Row],[Selling Price]])</f>
        <v>714</v>
      </c>
      <c r="O473" s="12">
        <f>(Shoe_Sales[[#This Row],[Quantity]]*Shoe_Sales[[#This Row],[Cost Price]])</f>
        <v>402</v>
      </c>
      <c r="P473" s="12">
        <f>(Shoe_Sales[[#This Row],[Revenue]]-Shoe_Sales[[#This Row],[Cost]])</f>
        <v>312</v>
      </c>
      <c r="Q473" s="15">
        <f>(Shoe_Sales[[#This Row],[Profit]]/Shoe_Sales[[#This Row],[Revenue]])</f>
        <v>0.43697478991596639</v>
      </c>
    </row>
    <row r="474" spans="1:17" x14ac:dyDescent="0.25">
      <c r="A474" s="8">
        <v>46060</v>
      </c>
      <c r="B474" s="2" t="s">
        <v>42</v>
      </c>
      <c r="C474" s="2" t="str">
        <f t="shared" si="14"/>
        <v>Derby</v>
      </c>
      <c r="D474" s="2" t="s">
        <v>8</v>
      </c>
      <c r="E474" s="2" t="str">
        <f t="shared" si="15"/>
        <v>Formal</v>
      </c>
      <c r="F474" s="2" t="s">
        <v>9</v>
      </c>
      <c r="G474" s="2" t="s">
        <v>49</v>
      </c>
      <c r="H474" s="2" t="str">
        <f>PROPER(Shoe_Sales[[#This Row],[Brand]])</f>
        <v>Nike</v>
      </c>
      <c r="I474" s="2" t="s">
        <v>37</v>
      </c>
      <c r="J474" s="3">
        <v>13</v>
      </c>
      <c r="K474" s="2" t="s">
        <v>82</v>
      </c>
      <c r="L474" s="12">
        <f>VLOOKUP(Shoe_Sales[[#This Row],[Product Cleaned]],Price!$A$2:$C$9,2,FALSE)</f>
        <v>32</v>
      </c>
      <c r="M474" s="12">
        <f>VLOOKUP(Shoe_Sales[[#This Row],[Product Cleaned]],Price!$A$2:$C$9,3,0)</f>
        <v>14</v>
      </c>
      <c r="N474" s="12">
        <f>(Shoe_Sales[[#This Row],[Quantity]]*Shoe_Sales[[#This Row],[Selling Price]])</f>
        <v>416</v>
      </c>
      <c r="O474" s="12">
        <f>(Shoe_Sales[[#This Row],[Quantity]]*Shoe_Sales[[#This Row],[Cost Price]])</f>
        <v>182</v>
      </c>
      <c r="P474" s="12">
        <f>(Shoe_Sales[[#This Row],[Revenue]]-Shoe_Sales[[#This Row],[Cost]])</f>
        <v>234</v>
      </c>
      <c r="Q474" s="15">
        <f>(Shoe_Sales[[#This Row],[Profit]]/Shoe_Sales[[#This Row],[Revenue]])</f>
        <v>0.5625</v>
      </c>
    </row>
    <row r="475" spans="1:17" x14ac:dyDescent="0.25">
      <c r="A475" s="9">
        <v>46048</v>
      </c>
      <c r="B475" s="4" t="s">
        <v>38</v>
      </c>
      <c r="C475" s="2" t="str">
        <f t="shared" si="14"/>
        <v>Monk Straps</v>
      </c>
      <c r="D475" s="4" t="s">
        <v>23</v>
      </c>
      <c r="E475" s="2" t="str">
        <f t="shared" si="15"/>
        <v>Casual</v>
      </c>
      <c r="F475" s="4" t="s">
        <v>9</v>
      </c>
      <c r="G475" s="4" t="s">
        <v>10</v>
      </c>
      <c r="H475" s="4" t="str">
        <f>PROPER(Shoe_Sales[[#This Row],[Brand]])</f>
        <v>Clarks</v>
      </c>
      <c r="I475" s="4" t="s">
        <v>11</v>
      </c>
      <c r="J475" s="5">
        <v>4</v>
      </c>
      <c r="K475" s="4" t="s">
        <v>79</v>
      </c>
      <c r="L475" s="12">
        <f>VLOOKUP(Shoe_Sales[[#This Row],[Product Cleaned]],Price!$A$2:$C$9,2,FALSE)</f>
        <v>89</v>
      </c>
      <c r="M475" s="12">
        <f>VLOOKUP(Shoe_Sales[[#This Row],[Product Cleaned]],Price!$A$2:$C$9,3,0)</f>
        <v>47</v>
      </c>
      <c r="N475" s="12">
        <f>(Shoe_Sales[[#This Row],[Quantity]]*Shoe_Sales[[#This Row],[Selling Price]])</f>
        <v>356</v>
      </c>
      <c r="O475" s="12">
        <f>(Shoe_Sales[[#This Row],[Quantity]]*Shoe_Sales[[#This Row],[Cost Price]])</f>
        <v>188</v>
      </c>
      <c r="P475" s="12">
        <f>(Shoe_Sales[[#This Row],[Revenue]]-Shoe_Sales[[#This Row],[Cost]])</f>
        <v>168</v>
      </c>
      <c r="Q475" s="15">
        <f>(Shoe_Sales[[#This Row],[Profit]]/Shoe_Sales[[#This Row],[Revenue]])</f>
        <v>0.47191011235955055</v>
      </c>
    </row>
    <row r="476" spans="1:17" x14ac:dyDescent="0.25">
      <c r="A476" s="8">
        <v>46234</v>
      </c>
      <c r="B476" s="2" t="s">
        <v>17</v>
      </c>
      <c r="C476" s="2" t="str">
        <f t="shared" si="14"/>
        <v>Slippers</v>
      </c>
      <c r="D476" s="2" t="s">
        <v>39</v>
      </c>
      <c r="E476" s="2" t="str">
        <f t="shared" si="15"/>
        <v>Formal</v>
      </c>
      <c r="F476" s="2" t="s">
        <v>14</v>
      </c>
      <c r="G476" s="2" t="s">
        <v>40</v>
      </c>
      <c r="H476" s="2" t="str">
        <f>PROPER(Shoe_Sales[[#This Row],[Brand]])</f>
        <v>Zara</v>
      </c>
      <c r="I476" s="2" t="s">
        <v>61</v>
      </c>
      <c r="J476" s="3">
        <v>3</v>
      </c>
      <c r="K476" s="2" t="s">
        <v>79</v>
      </c>
      <c r="L476" s="12">
        <f>VLOOKUP(Shoe_Sales[[#This Row],[Product Cleaned]],Price!$A$2:$C$9,2,FALSE)</f>
        <v>119</v>
      </c>
      <c r="M476" s="12">
        <f>VLOOKUP(Shoe_Sales[[#This Row],[Product Cleaned]],Price!$A$2:$C$9,3,0)</f>
        <v>67</v>
      </c>
      <c r="N476" s="12">
        <f>(Shoe_Sales[[#This Row],[Quantity]]*Shoe_Sales[[#This Row],[Selling Price]])</f>
        <v>357</v>
      </c>
      <c r="O476" s="12">
        <f>(Shoe_Sales[[#This Row],[Quantity]]*Shoe_Sales[[#This Row],[Cost Price]])</f>
        <v>201</v>
      </c>
      <c r="P476" s="12">
        <f>(Shoe_Sales[[#This Row],[Revenue]]-Shoe_Sales[[#This Row],[Cost]])</f>
        <v>156</v>
      </c>
      <c r="Q476" s="15">
        <f>(Shoe_Sales[[#This Row],[Profit]]/Shoe_Sales[[#This Row],[Revenue]])</f>
        <v>0.43697478991596639</v>
      </c>
    </row>
    <row r="477" spans="1:17" x14ac:dyDescent="0.25">
      <c r="A477" s="9">
        <v>46078</v>
      </c>
      <c r="B477" s="4" t="s">
        <v>65</v>
      </c>
      <c r="C477" s="2" t="str">
        <f t="shared" si="14"/>
        <v>Canvas</v>
      </c>
      <c r="D477" s="4" t="s">
        <v>23</v>
      </c>
      <c r="E477" s="2" t="str">
        <f t="shared" si="15"/>
        <v>Casual</v>
      </c>
      <c r="F477" s="4" t="s">
        <v>14</v>
      </c>
      <c r="G477" s="4" t="s">
        <v>40</v>
      </c>
      <c r="H477" s="4" t="str">
        <f>PROPER(Shoe_Sales[[#This Row],[Brand]])</f>
        <v>Zara</v>
      </c>
      <c r="I477" s="4" t="s">
        <v>26</v>
      </c>
      <c r="J477" s="5">
        <v>13</v>
      </c>
      <c r="K477" s="4" t="s">
        <v>82</v>
      </c>
      <c r="L477" s="12">
        <f>VLOOKUP(Shoe_Sales[[#This Row],[Product Cleaned]],Price!$A$2:$C$9,2,FALSE)</f>
        <v>128</v>
      </c>
      <c r="M477" s="12">
        <f>VLOOKUP(Shoe_Sales[[#This Row],[Product Cleaned]],Price!$A$2:$C$9,3,0)</f>
        <v>72</v>
      </c>
      <c r="N477" s="12">
        <f>(Shoe_Sales[[#This Row],[Quantity]]*Shoe_Sales[[#This Row],[Selling Price]])</f>
        <v>1664</v>
      </c>
      <c r="O477" s="12">
        <f>(Shoe_Sales[[#This Row],[Quantity]]*Shoe_Sales[[#This Row],[Cost Price]])</f>
        <v>936</v>
      </c>
      <c r="P477" s="12">
        <f>(Shoe_Sales[[#This Row],[Revenue]]-Shoe_Sales[[#This Row],[Cost]])</f>
        <v>728</v>
      </c>
      <c r="Q477" s="15">
        <f>(Shoe_Sales[[#This Row],[Profit]]/Shoe_Sales[[#This Row],[Revenue]])</f>
        <v>0.4375</v>
      </c>
    </row>
    <row r="478" spans="1:17" x14ac:dyDescent="0.25">
      <c r="A478" s="8">
        <v>46131</v>
      </c>
      <c r="B478" s="2" t="s">
        <v>55</v>
      </c>
      <c r="C478" s="2" t="str">
        <f t="shared" si="14"/>
        <v>Boots</v>
      </c>
      <c r="D478" s="2" t="s">
        <v>52</v>
      </c>
      <c r="E478" s="2" t="str">
        <f t="shared" si="15"/>
        <v>Casual</v>
      </c>
      <c r="F478" s="2" t="s">
        <v>14</v>
      </c>
      <c r="G478" s="2" t="s">
        <v>69</v>
      </c>
      <c r="H478" s="2" t="str">
        <f>PROPER(Shoe_Sales[[#This Row],[Brand]])</f>
        <v>Nike</v>
      </c>
      <c r="I478" s="2" t="s">
        <v>35</v>
      </c>
      <c r="J478" s="3">
        <v>9</v>
      </c>
      <c r="K478" s="2" t="s">
        <v>79</v>
      </c>
      <c r="L478" s="12">
        <f>VLOOKUP(Shoe_Sales[[#This Row],[Product Cleaned]],Price!$A$2:$C$9,2,FALSE)</f>
        <v>76</v>
      </c>
      <c r="M478" s="12">
        <f>VLOOKUP(Shoe_Sales[[#This Row],[Product Cleaned]],Price!$A$2:$C$9,3,0)</f>
        <v>39</v>
      </c>
      <c r="N478" s="12">
        <f>(Shoe_Sales[[#This Row],[Quantity]]*Shoe_Sales[[#This Row],[Selling Price]])</f>
        <v>684</v>
      </c>
      <c r="O478" s="12">
        <f>(Shoe_Sales[[#This Row],[Quantity]]*Shoe_Sales[[#This Row],[Cost Price]])</f>
        <v>351</v>
      </c>
      <c r="P478" s="12">
        <f>(Shoe_Sales[[#This Row],[Revenue]]-Shoe_Sales[[#This Row],[Cost]])</f>
        <v>333</v>
      </c>
      <c r="Q478" s="15">
        <f>(Shoe_Sales[[#This Row],[Profit]]/Shoe_Sales[[#This Row],[Revenue]])</f>
        <v>0.48684210526315791</v>
      </c>
    </row>
    <row r="479" spans="1:17" x14ac:dyDescent="0.25">
      <c r="A479" s="9">
        <v>46167</v>
      </c>
      <c r="B479" s="4" t="s">
        <v>22</v>
      </c>
      <c r="C479" s="2" t="str">
        <f t="shared" si="14"/>
        <v>Loafers</v>
      </c>
      <c r="D479" s="4" t="s">
        <v>13</v>
      </c>
      <c r="E479" s="2" t="str">
        <f t="shared" si="15"/>
        <v>Casual</v>
      </c>
      <c r="F479" s="4" t="s">
        <v>9</v>
      </c>
      <c r="G479" s="4" t="s">
        <v>15</v>
      </c>
      <c r="H479" s="4" t="str">
        <f>PROPER(Shoe_Sales[[#This Row],[Brand]])</f>
        <v>Steve Madden</v>
      </c>
      <c r="I479" s="4" t="s">
        <v>37</v>
      </c>
      <c r="J479" s="5">
        <v>10</v>
      </c>
      <c r="K479" s="4" t="s">
        <v>79</v>
      </c>
      <c r="L479" s="12">
        <f>VLOOKUP(Shoe_Sales[[#This Row],[Product Cleaned]],Price!$A$2:$C$9,2,FALSE)</f>
        <v>54</v>
      </c>
      <c r="M479" s="12">
        <f>VLOOKUP(Shoe_Sales[[#This Row],[Product Cleaned]],Price!$A$2:$C$9,3,0)</f>
        <v>28</v>
      </c>
      <c r="N479" s="12">
        <f>(Shoe_Sales[[#This Row],[Quantity]]*Shoe_Sales[[#This Row],[Selling Price]])</f>
        <v>540</v>
      </c>
      <c r="O479" s="12">
        <f>(Shoe_Sales[[#This Row],[Quantity]]*Shoe_Sales[[#This Row],[Cost Price]])</f>
        <v>280</v>
      </c>
      <c r="P479" s="12">
        <f>(Shoe_Sales[[#This Row],[Revenue]]-Shoe_Sales[[#This Row],[Cost]])</f>
        <v>260</v>
      </c>
      <c r="Q479" s="15">
        <f>(Shoe_Sales[[#This Row],[Profit]]/Shoe_Sales[[#This Row],[Revenue]])</f>
        <v>0.48148148148148145</v>
      </c>
    </row>
    <row r="480" spans="1:17" x14ac:dyDescent="0.25">
      <c r="A480" s="8">
        <v>46031</v>
      </c>
      <c r="B480" s="2" t="s">
        <v>17</v>
      </c>
      <c r="C480" s="2" t="str">
        <f t="shared" si="14"/>
        <v>Slippers</v>
      </c>
      <c r="D480" s="2" t="s">
        <v>23</v>
      </c>
      <c r="E480" s="2" t="str">
        <f t="shared" si="15"/>
        <v>Casual</v>
      </c>
      <c r="F480" s="2" t="s">
        <v>29</v>
      </c>
      <c r="G480" s="2" t="s">
        <v>69</v>
      </c>
      <c r="H480" s="2" t="str">
        <f>PROPER(Shoe_Sales[[#This Row],[Brand]])</f>
        <v>Nike</v>
      </c>
      <c r="I480" s="2" t="s">
        <v>31</v>
      </c>
      <c r="J480" s="3">
        <v>6</v>
      </c>
      <c r="K480" s="2" t="s">
        <v>81</v>
      </c>
      <c r="L480" s="12">
        <f>VLOOKUP(Shoe_Sales[[#This Row],[Product Cleaned]],Price!$A$2:$C$9,2,FALSE)</f>
        <v>119</v>
      </c>
      <c r="M480" s="12">
        <f>VLOOKUP(Shoe_Sales[[#This Row],[Product Cleaned]],Price!$A$2:$C$9,3,0)</f>
        <v>67</v>
      </c>
      <c r="N480" s="12">
        <f>(Shoe_Sales[[#This Row],[Quantity]]*Shoe_Sales[[#This Row],[Selling Price]])</f>
        <v>714</v>
      </c>
      <c r="O480" s="12">
        <f>(Shoe_Sales[[#This Row],[Quantity]]*Shoe_Sales[[#This Row],[Cost Price]])</f>
        <v>402</v>
      </c>
      <c r="P480" s="12">
        <f>(Shoe_Sales[[#This Row],[Revenue]]-Shoe_Sales[[#This Row],[Cost]])</f>
        <v>312</v>
      </c>
      <c r="Q480" s="15">
        <f>(Shoe_Sales[[#This Row],[Profit]]/Shoe_Sales[[#This Row],[Revenue]])</f>
        <v>0.43697478991596639</v>
      </c>
    </row>
    <row r="481" spans="1:17" x14ac:dyDescent="0.25">
      <c r="A481" s="9">
        <v>46214</v>
      </c>
      <c r="B481" s="4" t="s">
        <v>42</v>
      </c>
      <c r="C481" s="2" t="str">
        <f t="shared" si="14"/>
        <v>Derby</v>
      </c>
      <c r="D481" s="4" t="s">
        <v>13</v>
      </c>
      <c r="E481" s="2" t="str">
        <f t="shared" si="15"/>
        <v>Casual</v>
      </c>
      <c r="F481" s="4" t="s">
        <v>9</v>
      </c>
      <c r="G481" s="4" t="s">
        <v>10</v>
      </c>
      <c r="H481" s="4" t="str">
        <f>PROPER(Shoe_Sales[[#This Row],[Brand]])</f>
        <v>Clarks</v>
      </c>
      <c r="I481" s="4" t="s">
        <v>31</v>
      </c>
      <c r="J481" s="5">
        <v>15</v>
      </c>
      <c r="K481" s="4" t="s">
        <v>80</v>
      </c>
      <c r="L481" s="12">
        <f>VLOOKUP(Shoe_Sales[[#This Row],[Product Cleaned]],Price!$A$2:$C$9,2,FALSE)</f>
        <v>32</v>
      </c>
      <c r="M481" s="12">
        <f>VLOOKUP(Shoe_Sales[[#This Row],[Product Cleaned]],Price!$A$2:$C$9,3,0)</f>
        <v>14</v>
      </c>
      <c r="N481" s="12">
        <f>(Shoe_Sales[[#This Row],[Quantity]]*Shoe_Sales[[#This Row],[Selling Price]])</f>
        <v>480</v>
      </c>
      <c r="O481" s="12">
        <f>(Shoe_Sales[[#This Row],[Quantity]]*Shoe_Sales[[#This Row],[Cost Price]])</f>
        <v>210</v>
      </c>
      <c r="P481" s="12">
        <f>(Shoe_Sales[[#This Row],[Revenue]]-Shoe_Sales[[#This Row],[Cost]])</f>
        <v>270</v>
      </c>
      <c r="Q481" s="15">
        <f>(Shoe_Sales[[#This Row],[Profit]]/Shoe_Sales[[#This Row],[Revenue]])</f>
        <v>0.5625</v>
      </c>
    </row>
    <row r="482" spans="1:17" x14ac:dyDescent="0.25">
      <c r="A482" s="8">
        <v>46219</v>
      </c>
      <c r="B482" s="2" t="s">
        <v>17</v>
      </c>
      <c r="C482" s="2" t="str">
        <f t="shared" si="14"/>
        <v>Slippers</v>
      </c>
      <c r="D482" s="2" t="s">
        <v>8</v>
      </c>
      <c r="E482" s="2" t="str">
        <f t="shared" si="15"/>
        <v>Formal</v>
      </c>
      <c r="F482" s="2" t="s">
        <v>14</v>
      </c>
      <c r="G482" s="2" t="s">
        <v>60</v>
      </c>
      <c r="H482" s="2" t="str">
        <f>PROPER(Shoe_Sales[[#This Row],[Brand]])</f>
        <v>Clarks</v>
      </c>
      <c r="I482" s="2" t="s">
        <v>54</v>
      </c>
      <c r="J482" s="3">
        <v>11</v>
      </c>
      <c r="K482" s="2" t="s">
        <v>80</v>
      </c>
      <c r="L482" s="12">
        <f>VLOOKUP(Shoe_Sales[[#This Row],[Product Cleaned]],Price!$A$2:$C$9,2,FALSE)</f>
        <v>119</v>
      </c>
      <c r="M482" s="12">
        <f>VLOOKUP(Shoe_Sales[[#This Row],[Product Cleaned]],Price!$A$2:$C$9,3,0)</f>
        <v>67</v>
      </c>
      <c r="N482" s="12">
        <f>(Shoe_Sales[[#This Row],[Quantity]]*Shoe_Sales[[#This Row],[Selling Price]])</f>
        <v>1309</v>
      </c>
      <c r="O482" s="12">
        <f>(Shoe_Sales[[#This Row],[Quantity]]*Shoe_Sales[[#This Row],[Cost Price]])</f>
        <v>737</v>
      </c>
      <c r="P482" s="12">
        <f>(Shoe_Sales[[#This Row],[Revenue]]-Shoe_Sales[[#This Row],[Cost]])</f>
        <v>572</v>
      </c>
      <c r="Q482" s="15">
        <f>(Shoe_Sales[[#This Row],[Profit]]/Shoe_Sales[[#This Row],[Revenue]])</f>
        <v>0.43697478991596639</v>
      </c>
    </row>
    <row r="483" spans="1:17" x14ac:dyDescent="0.25">
      <c r="A483" s="9">
        <v>46080</v>
      </c>
      <c r="B483" s="4" t="s">
        <v>38</v>
      </c>
      <c r="C483" s="2" t="str">
        <f t="shared" si="14"/>
        <v>Monk Straps</v>
      </c>
      <c r="D483" s="4" t="s">
        <v>52</v>
      </c>
      <c r="E483" s="2" t="str">
        <f t="shared" si="15"/>
        <v>Casual</v>
      </c>
      <c r="F483" s="4" t="s">
        <v>14</v>
      </c>
      <c r="G483" s="4" t="s">
        <v>53</v>
      </c>
      <c r="H483" s="4" t="str">
        <f>PROPER(Shoe_Sales[[#This Row],[Brand]])</f>
        <v>Zara</v>
      </c>
      <c r="I483" s="4" t="s">
        <v>43</v>
      </c>
      <c r="J483" s="5">
        <v>9</v>
      </c>
      <c r="K483" s="4" t="s">
        <v>81</v>
      </c>
      <c r="L483" s="12">
        <f>VLOOKUP(Shoe_Sales[[#This Row],[Product Cleaned]],Price!$A$2:$C$9,2,FALSE)</f>
        <v>89</v>
      </c>
      <c r="M483" s="12">
        <f>VLOOKUP(Shoe_Sales[[#This Row],[Product Cleaned]],Price!$A$2:$C$9,3,0)</f>
        <v>47</v>
      </c>
      <c r="N483" s="12">
        <f>(Shoe_Sales[[#This Row],[Quantity]]*Shoe_Sales[[#This Row],[Selling Price]])</f>
        <v>801</v>
      </c>
      <c r="O483" s="12">
        <f>(Shoe_Sales[[#This Row],[Quantity]]*Shoe_Sales[[#This Row],[Cost Price]])</f>
        <v>423</v>
      </c>
      <c r="P483" s="12">
        <f>(Shoe_Sales[[#This Row],[Revenue]]-Shoe_Sales[[#This Row],[Cost]])</f>
        <v>378</v>
      </c>
      <c r="Q483" s="15">
        <f>(Shoe_Sales[[#This Row],[Profit]]/Shoe_Sales[[#This Row],[Revenue]])</f>
        <v>0.47191011235955055</v>
      </c>
    </row>
    <row r="484" spans="1:17" x14ac:dyDescent="0.25">
      <c r="A484" s="8">
        <v>46173</v>
      </c>
      <c r="B484" s="2" t="s">
        <v>7</v>
      </c>
      <c r="C484" s="2" t="str">
        <f t="shared" si="14"/>
        <v>Derby</v>
      </c>
      <c r="D484" s="2" t="s">
        <v>39</v>
      </c>
      <c r="E484" s="2" t="str">
        <f t="shared" si="15"/>
        <v>Formal</v>
      </c>
      <c r="F484" s="2" t="s">
        <v>14</v>
      </c>
      <c r="G484" s="2" t="s">
        <v>53</v>
      </c>
      <c r="H484" s="2" t="str">
        <f>PROPER(Shoe_Sales[[#This Row],[Brand]])</f>
        <v>Zara</v>
      </c>
      <c r="I484" s="2" t="s">
        <v>58</v>
      </c>
      <c r="J484" s="3">
        <v>8</v>
      </c>
      <c r="K484" s="2" t="s">
        <v>82</v>
      </c>
      <c r="L484" s="12">
        <f>VLOOKUP(Shoe_Sales[[#This Row],[Product Cleaned]],Price!$A$2:$C$9,2,FALSE)</f>
        <v>32</v>
      </c>
      <c r="M484" s="12">
        <f>VLOOKUP(Shoe_Sales[[#This Row],[Product Cleaned]],Price!$A$2:$C$9,3,0)</f>
        <v>14</v>
      </c>
      <c r="N484" s="12">
        <f>(Shoe_Sales[[#This Row],[Quantity]]*Shoe_Sales[[#This Row],[Selling Price]])</f>
        <v>256</v>
      </c>
      <c r="O484" s="12">
        <f>(Shoe_Sales[[#This Row],[Quantity]]*Shoe_Sales[[#This Row],[Cost Price]])</f>
        <v>112</v>
      </c>
      <c r="P484" s="12">
        <f>(Shoe_Sales[[#This Row],[Revenue]]-Shoe_Sales[[#This Row],[Cost]])</f>
        <v>144</v>
      </c>
      <c r="Q484" s="15">
        <f>(Shoe_Sales[[#This Row],[Profit]]/Shoe_Sales[[#This Row],[Revenue]])</f>
        <v>0.5625</v>
      </c>
    </row>
    <row r="485" spans="1:17" x14ac:dyDescent="0.25">
      <c r="A485" s="9">
        <v>46145</v>
      </c>
      <c r="B485" s="4" t="s">
        <v>55</v>
      </c>
      <c r="C485" s="2" t="str">
        <f t="shared" si="14"/>
        <v>Boots</v>
      </c>
      <c r="D485" s="4" t="s">
        <v>8</v>
      </c>
      <c r="E485" s="2" t="str">
        <f t="shared" si="15"/>
        <v>Formal</v>
      </c>
      <c r="F485" s="4" t="s">
        <v>19</v>
      </c>
      <c r="G485" s="4" t="s">
        <v>10</v>
      </c>
      <c r="H485" s="4" t="str">
        <f>PROPER(Shoe_Sales[[#This Row],[Brand]])</f>
        <v>Clarks</v>
      </c>
      <c r="I485" s="4" t="s">
        <v>11</v>
      </c>
      <c r="J485" s="5">
        <v>13</v>
      </c>
      <c r="K485" s="4" t="s">
        <v>82</v>
      </c>
      <c r="L485" s="12">
        <f>VLOOKUP(Shoe_Sales[[#This Row],[Product Cleaned]],Price!$A$2:$C$9,2,FALSE)</f>
        <v>76</v>
      </c>
      <c r="M485" s="12">
        <f>VLOOKUP(Shoe_Sales[[#This Row],[Product Cleaned]],Price!$A$2:$C$9,3,0)</f>
        <v>39</v>
      </c>
      <c r="N485" s="12">
        <f>(Shoe_Sales[[#This Row],[Quantity]]*Shoe_Sales[[#This Row],[Selling Price]])</f>
        <v>988</v>
      </c>
      <c r="O485" s="12">
        <f>(Shoe_Sales[[#This Row],[Quantity]]*Shoe_Sales[[#This Row],[Cost Price]])</f>
        <v>507</v>
      </c>
      <c r="P485" s="12">
        <f>(Shoe_Sales[[#This Row],[Revenue]]-Shoe_Sales[[#This Row],[Cost]])</f>
        <v>481</v>
      </c>
      <c r="Q485" s="15">
        <f>(Shoe_Sales[[#This Row],[Profit]]/Shoe_Sales[[#This Row],[Revenue]])</f>
        <v>0.48684210526315791</v>
      </c>
    </row>
    <row r="486" spans="1:17" x14ac:dyDescent="0.25">
      <c r="A486" s="8">
        <v>46215</v>
      </c>
      <c r="B486" s="2" t="s">
        <v>65</v>
      </c>
      <c r="C486" s="2" t="str">
        <f t="shared" si="14"/>
        <v>Canvas</v>
      </c>
      <c r="D486" s="2" t="s">
        <v>23</v>
      </c>
      <c r="E486" s="2" t="str">
        <f t="shared" si="15"/>
        <v>Casual</v>
      </c>
      <c r="F486" s="2" t="s">
        <v>19</v>
      </c>
      <c r="G486" s="2" t="s">
        <v>53</v>
      </c>
      <c r="H486" s="2" t="str">
        <f>PROPER(Shoe_Sales[[#This Row],[Brand]])</f>
        <v>Zara</v>
      </c>
      <c r="I486" s="2" t="s">
        <v>46</v>
      </c>
      <c r="J486" s="3">
        <v>6</v>
      </c>
      <c r="K486" s="2" t="s">
        <v>81</v>
      </c>
      <c r="L486" s="12">
        <f>VLOOKUP(Shoe_Sales[[#This Row],[Product Cleaned]],Price!$A$2:$C$9,2,FALSE)</f>
        <v>128</v>
      </c>
      <c r="M486" s="12">
        <f>VLOOKUP(Shoe_Sales[[#This Row],[Product Cleaned]],Price!$A$2:$C$9,3,0)</f>
        <v>72</v>
      </c>
      <c r="N486" s="12">
        <f>(Shoe_Sales[[#This Row],[Quantity]]*Shoe_Sales[[#This Row],[Selling Price]])</f>
        <v>768</v>
      </c>
      <c r="O486" s="12">
        <f>(Shoe_Sales[[#This Row],[Quantity]]*Shoe_Sales[[#This Row],[Cost Price]])</f>
        <v>432</v>
      </c>
      <c r="P486" s="12">
        <f>(Shoe_Sales[[#This Row],[Revenue]]-Shoe_Sales[[#This Row],[Cost]])</f>
        <v>336</v>
      </c>
      <c r="Q486" s="15">
        <f>(Shoe_Sales[[#This Row],[Profit]]/Shoe_Sales[[#This Row],[Revenue]])</f>
        <v>0.4375</v>
      </c>
    </row>
    <row r="487" spans="1:17" x14ac:dyDescent="0.25">
      <c r="A487" s="9">
        <v>46026</v>
      </c>
      <c r="B487" s="4" t="s">
        <v>59</v>
      </c>
      <c r="C487" s="2" t="str">
        <f t="shared" si="14"/>
        <v>Oxford</v>
      </c>
      <c r="D487" s="4" t="s">
        <v>13</v>
      </c>
      <c r="E487" s="2" t="str">
        <f t="shared" si="15"/>
        <v>Casual</v>
      </c>
      <c r="F487" s="4" t="s">
        <v>14</v>
      </c>
      <c r="G487" s="4" t="s">
        <v>73</v>
      </c>
      <c r="H487" s="4" t="str">
        <f>PROPER(Shoe_Sales[[#This Row],[Brand]])</f>
        <v>Timberland</v>
      </c>
      <c r="I487" s="4" t="s">
        <v>37</v>
      </c>
      <c r="J487" s="5">
        <v>3</v>
      </c>
      <c r="K487" s="4" t="s">
        <v>82</v>
      </c>
      <c r="L487" s="12">
        <f>VLOOKUP(Shoe_Sales[[#This Row],[Product Cleaned]],Price!$A$2:$C$9,2,FALSE)</f>
        <v>105</v>
      </c>
      <c r="M487" s="12">
        <f>VLOOKUP(Shoe_Sales[[#This Row],[Product Cleaned]],Price!$A$2:$C$9,3,0)</f>
        <v>58</v>
      </c>
      <c r="N487" s="12">
        <f>(Shoe_Sales[[#This Row],[Quantity]]*Shoe_Sales[[#This Row],[Selling Price]])</f>
        <v>315</v>
      </c>
      <c r="O487" s="12">
        <f>(Shoe_Sales[[#This Row],[Quantity]]*Shoe_Sales[[#This Row],[Cost Price]])</f>
        <v>174</v>
      </c>
      <c r="P487" s="12">
        <f>(Shoe_Sales[[#This Row],[Revenue]]-Shoe_Sales[[#This Row],[Cost]])</f>
        <v>141</v>
      </c>
      <c r="Q487" s="15">
        <f>(Shoe_Sales[[#This Row],[Profit]]/Shoe_Sales[[#This Row],[Revenue]])</f>
        <v>0.44761904761904764</v>
      </c>
    </row>
    <row r="488" spans="1:17" x14ac:dyDescent="0.25">
      <c r="A488" s="8">
        <v>46078</v>
      </c>
      <c r="B488" s="2" t="s">
        <v>64</v>
      </c>
      <c r="C488" s="2" t="str">
        <f t="shared" si="14"/>
        <v>Derby</v>
      </c>
      <c r="D488" s="2" t="s">
        <v>39</v>
      </c>
      <c r="E488" s="2" t="str">
        <f t="shared" si="15"/>
        <v>Formal</v>
      </c>
      <c r="F488" s="2" t="s">
        <v>14</v>
      </c>
      <c r="G488" s="2" t="s">
        <v>10</v>
      </c>
      <c r="H488" s="2" t="str">
        <f>PROPER(Shoe_Sales[[#This Row],[Brand]])</f>
        <v>Clarks</v>
      </c>
      <c r="I488" s="2" t="s">
        <v>41</v>
      </c>
      <c r="J488" s="3">
        <v>8</v>
      </c>
      <c r="K488" s="2" t="s">
        <v>79</v>
      </c>
      <c r="L488" s="12">
        <f>VLOOKUP(Shoe_Sales[[#This Row],[Product Cleaned]],Price!$A$2:$C$9,2,FALSE)</f>
        <v>32</v>
      </c>
      <c r="M488" s="12">
        <f>VLOOKUP(Shoe_Sales[[#This Row],[Product Cleaned]],Price!$A$2:$C$9,3,0)</f>
        <v>14</v>
      </c>
      <c r="N488" s="12">
        <f>(Shoe_Sales[[#This Row],[Quantity]]*Shoe_Sales[[#This Row],[Selling Price]])</f>
        <v>256</v>
      </c>
      <c r="O488" s="12">
        <f>(Shoe_Sales[[#This Row],[Quantity]]*Shoe_Sales[[#This Row],[Cost Price]])</f>
        <v>112</v>
      </c>
      <c r="P488" s="12">
        <f>(Shoe_Sales[[#This Row],[Revenue]]-Shoe_Sales[[#This Row],[Cost]])</f>
        <v>144</v>
      </c>
      <c r="Q488" s="15">
        <f>(Shoe_Sales[[#This Row],[Profit]]/Shoe_Sales[[#This Row],[Revenue]])</f>
        <v>0.5625</v>
      </c>
    </row>
    <row r="489" spans="1:17" x14ac:dyDescent="0.25">
      <c r="A489" s="9">
        <v>46065</v>
      </c>
      <c r="B489" s="4" t="s">
        <v>76</v>
      </c>
      <c r="C489" s="2" t="str">
        <f t="shared" si="14"/>
        <v>Monk Straps</v>
      </c>
      <c r="D489" s="4" t="s">
        <v>33</v>
      </c>
      <c r="E489" s="2" t="str">
        <f t="shared" si="15"/>
        <v>Formal</v>
      </c>
      <c r="F489" s="4" t="s">
        <v>9</v>
      </c>
      <c r="G489" s="4" t="s">
        <v>40</v>
      </c>
      <c r="H489" s="4" t="str">
        <f>PROPER(Shoe_Sales[[#This Row],[Brand]])</f>
        <v>Zara</v>
      </c>
      <c r="I489" s="4" t="s">
        <v>43</v>
      </c>
      <c r="J489" s="5">
        <v>15</v>
      </c>
      <c r="K489" s="4" t="s">
        <v>82</v>
      </c>
      <c r="L489" s="12">
        <f>VLOOKUP(Shoe_Sales[[#This Row],[Product Cleaned]],Price!$A$2:$C$9,2,FALSE)</f>
        <v>89</v>
      </c>
      <c r="M489" s="12">
        <f>VLOOKUP(Shoe_Sales[[#This Row],[Product Cleaned]],Price!$A$2:$C$9,3,0)</f>
        <v>47</v>
      </c>
      <c r="N489" s="12">
        <f>(Shoe_Sales[[#This Row],[Quantity]]*Shoe_Sales[[#This Row],[Selling Price]])</f>
        <v>1335</v>
      </c>
      <c r="O489" s="12">
        <f>(Shoe_Sales[[#This Row],[Quantity]]*Shoe_Sales[[#This Row],[Cost Price]])</f>
        <v>705</v>
      </c>
      <c r="P489" s="12">
        <f>(Shoe_Sales[[#This Row],[Revenue]]-Shoe_Sales[[#This Row],[Cost]])</f>
        <v>630</v>
      </c>
      <c r="Q489" s="15">
        <f>(Shoe_Sales[[#This Row],[Profit]]/Shoe_Sales[[#This Row],[Revenue]])</f>
        <v>0.47191011235955055</v>
      </c>
    </row>
    <row r="490" spans="1:17" x14ac:dyDescent="0.25">
      <c r="A490" s="8">
        <v>46218</v>
      </c>
      <c r="B490" s="2" t="s">
        <v>63</v>
      </c>
      <c r="C490" s="2" t="str">
        <f t="shared" si="14"/>
        <v>Monk Straps</v>
      </c>
      <c r="D490" s="2" t="s">
        <v>8</v>
      </c>
      <c r="E490" s="2" t="str">
        <f t="shared" si="15"/>
        <v>Formal</v>
      </c>
      <c r="F490" s="2" t="s">
        <v>19</v>
      </c>
      <c r="G490" s="2" t="s">
        <v>10</v>
      </c>
      <c r="H490" s="2" t="str">
        <f>PROPER(Shoe_Sales[[#This Row],[Brand]])</f>
        <v>Clarks</v>
      </c>
      <c r="I490" s="2" t="s">
        <v>26</v>
      </c>
      <c r="J490" s="3">
        <v>2</v>
      </c>
      <c r="K490" s="2" t="s">
        <v>79</v>
      </c>
      <c r="L490" s="12">
        <f>VLOOKUP(Shoe_Sales[[#This Row],[Product Cleaned]],Price!$A$2:$C$9,2,FALSE)</f>
        <v>89</v>
      </c>
      <c r="M490" s="12">
        <f>VLOOKUP(Shoe_Sales[[#This Row],[Product Cleaned]],Price!$A$2:$C$9,3,0)</f>
        <v>47</v>
      </c>
      <c r="N490" s="12">
        <f>(Shoe_Sales[[#This Row],[Quantity]]*Shoe_Sales[[#This Row],[Selling Price]])</f>
        <v>178</v>
      </c>
      <c r="O490" s="12">
        <f>(Shoe_Sales[[#This Row],[Quantity]]*Shoe_Sales[[#This Row],[Cost Price]])</f>
        <v>94</v>
      </c>
      <c r="P490" s="12">
        <f>(Shoe_Sales[[#This Row],[Revenue]]-Shoe_Sales[[#This Row],[Cost]])</f>
        <v>84</v>
      </c>
      <c r="Q490" s="15">
        <f>(Shoe_Sales[[#This Row],[Profit]]/Shoe_Sales[[#This Row],[Revenue]])</f>
        <v>0.47191011235955055</v>
      </c>
    </row>
    <row r="491" spans="1:17" x14ac:dyDescent="0.25">
      <c r="A491" s="9">
        <v>46137</v>
      </c>
      <c r="B491" s="4" t="s">
        <v>36</v>
      </c>
      <c r="C491" s="2" t="str">
        <f t="shared" si="14"/>
        <v>Brogues</v>
      </c>
      <c r="D491" s="4" t="s">
        <v>39</v>
      </c>
      <c r="E491" s="2" t="str">
        <f t="shared" si="15"/>
        <v>Formal</v>
      </c>
      <c r="F491" s="4" t="s">
        <v>19</v>
      </c>
      <c r="G491" s="4" t="s">
        <v>60</v>
      </c>
      <c r="H491" s="4" t="str">
        <f>PROPER(Shoe_Sales[[#This Row],[Brand]])</f>
        <v>Clarks</v>
      </c>
      <c r="I491" s="4" t="s">
        <v>41</v>
      </c>
      <c r="J491" s="5">
        <v>10</v>
      </c>
      <c r="K491" s="4" t="s">
        <v>82</v>
      </c>
      <c r="L491" s="12">
        <f>VLOOKUP(Shoe_Sales[[#This Row],[Product Cleaned]],Price!$A$2:$C$9,2,FALSE)</f>
        <v>112</v>
      </c>
      <c r="M491" s="12">
        <f>VLOOKUP(Shoe_Sales[[#This Row],[Product Cleaned]],Price!$A$2:$C$9,3,0)</f>
        <v>64</v>
      </c>
      <c r="N491" s="12">
        <f>(Shoe_Sales[[#This Row],[Quantity]]*Shoe_Sales[[#This Row],[Selling Price]])</f>
        <v>1120</v>
      </c>
      <c r="O491" s="12">
        <f>(Shoe_Sales[[#This Row],[Quantity]]*Shoe_Sales[[#This Row],[Cost Price]])</f>
        <v>640</v>
      </c>
      <c r="P491" s="12">
        <f>(Shoe_Sales[[#This Row],[Revenue]]-Shoe_Sales[[#This Row],[Cost]])</f>
        <v>480</v>
      </c>
      <c r="Q491" s="15">
        <f>(Shoe_Sales[[#This Row],[Profit]]/Shoe_Sales[[#This Row],[Revenue]])</f>
        <v>0.42857142857142855</v>
      </c>
    </row>
    <row r="492" spans="1:17" x14ac:dyDescent="0.25">
      <c r="A492" s="8">
        <v>46045</v>
      </c>
      <c r="B492" s="2" t="s">
        <v>51</v>
      </c>
      <c r="C492" s="2" t="str">
        <f t="shared" si="14"/>
        <v>Loafers</v>
      </c>
      <c r="D492" s="2" t="s">
        <v>39</v>
      </c>
      <c r="E492" s="2" t="str">
        <f t="shared" si="15"/>
        <v>Formal</v>
      </c>
      <c r="F492" s="2" t="s">
        <v>19</v>
      </c>
      <c r="G492" s="2" t="s">
        <v>20</v>
      </c>
      <c r="H492" s="2" t="str">
        <f>PROPER(Shoe_Sales[[#This Row],[Brand]])</f>
        <v>Nike</v>
      </c>
      <c r="I492" s="2" t="s">
        <v>37</v>
      </c>
      <c r="J492" s="3">
        <v>5</v>
      </c>
      <c r="K492" s="2" t="s">
        <v>79</v>
      </c>
      <c r="L492" s="12">
        <f>VLOOKUP(Shoe_Sales[[#This Row],[Product Cleaned]],Price!$A$2:$C$9,2,FALSE)</f>
        <v>54</v>
      </c>
      <c r="M492" s="12">
        <f>VLOOKUP(Shoe_Sales[[#This Row],[Product Cleaned]],Price!$A$2:$C$9,3,0)</f>
        <v>28</v>
      </c>
      <c r="N492" s="12">
        <f>(Shoe_Sales[[#This Row],[Quantity]]*Shoe_Sales[[#This Row],[Selling Price]])</f>
        <v>270</v>
      </c>
      <c r="O492" s="12">
        <f>(Shoe_Sales[[#This Row],[Quantity]]*Shoe_Sales[[#This Row],[Cost Price]])</f>
        <v>140</v>
      </c>
      <c r="P492" s="12">
        <f>(Shoe_Sales[[#This Row],[Revenue]]-Shoe_Sales[[#This Row],[Cost]])</f>
        <v>130</v>
      </c>
      <c r="Q492" s="15">
        <f>(Shoe_Sales[[#This Row],[Profit]]/Shoe_Sales[[#This Row],[Revenue]])</f>
        <v>0.48148148148148145</v>
      </c>
    </row>
    <row r="493" spans="1:17" x14ac:dyDescent="0.25">
      <c r="A493" s="9">
        <v>46095</v>
      </c>
      <c r="B493" s="4" t="s">
        <v>64</v>
      </c>
      <c r="C493" s="2" t="str">
        <f t="shared" si="14"/>
        <v>Derby</v>
      </c>
      <c r="D493" s="4" t="s">
        <v>39</v>
      </c>
      <c r="E493" s="2" t="str">
        <f t="shared" si="15"/>
        <v>Formal</v>
      </c>
      <c r="F493" s="4" t="s">
        <v>14</v>
      </c>
      <c r="G493" s="4" t="s">
        <v>25</v>
      </c>
      <c r="H493" s="4" t="str">
        <f>PROPER(Shoe_Sales[[#This Row],[Brand]])</f>
        <v>Zara</v>
      </c>
      <c r="I493" s="4" t="s">
        <v>54</v>
      </c>
      <c r="J493" s="5">
        <v>15</v>
      </c>
      <c r="K493" s="4" t="s">
        <v>81</v>
      </c>
      <c r="L493" s="12">
        <f>VLOOKUP(Shoe_Sales[[#This Row],[Product Cleaned]],Price!$A$2:$C$9,2,FALSE)</f>
        <v>32</v>
      </c>
      <c r="M493" s="12">
        <f>VLOOKUP(Shoe_Sales[[#This Row],[Product Cleaned]],Price!$A$2:$C$9,3,0)</f>
        <v>14</v>
      </c>
      <c r="N493" s="12">
        <f>(Shoe_Sales[[#This Row],[Quantity]]*Shoe_Sales[[#This Row],[Selling Price]])</f>
        <v>480</v>
      </c>
      <c r="O493" s="12">
        <f>(Shoe_Sales[[#This Row],[Quantity]]*Shoe_Sales[[#This Row],[Cost Price]])</f>
        <v>210</v>
      </c>
      <c r="P493" s="12">
        <f>(Shoe_Sales[[#This Row],[Revenue]]-Shoe_Sales[[#This Row],[Cost]])</f>
        <v>270</v>
      </c>
      <c r="Q493" s="15">
        <f>(Shoe_Sales[[#This Row],[Profit]]/Shoe_Sales[[#This Row],[Revenue]])</f>
        <v>0.5625</v>
      </c>
    </row>
    <row r="494" spans="1:17" x14ac:dyDescent="0.25">
      <c r="A494" s="8">
        <v>46064</v>
      </c>
      <c r="B494" s="2" t="s">
        <v>65</v>
      </c>
      <c r="C494" s="2" t="str">
        <f t="shared" si="14"/>
        <v>Canvas</v>
      </c>
      <c r="D494" s="2" t="s">
        <v>33</v>
      </c>
      <c r="E494" s="2" t="str">
        <f t="shared" si="15"/>
        <v>Formal</v>
      </c>
      <c r="F494" s="2" t="s">
        <v>9</v>
      </c>
      <c r="G494" s="2" t="s">
        <v>15</v>
      </c>
      <c r="H494" s="2" t="str">
        <f>PROPER(Shoe_Sales[[#This Row],[Brand]])</f>
        <v>Steve Madden</v>
      </c>
      <c r="I494" s="2" t="s">
        <v>61</v>
      </c>
      <c r="J494" s="3">
        <v>15</v>
      </c>
      <c r="K494" s="2" t="s">
        <v>81</v>
      </c>
      <c r="L494" s="12">
        <f>VLOOKUP(Shoe_Sales[[#This Row],[Product Cleaned]],Price!$A$2:$C$9,2,FALSE)</f>
        <v>128</v>
      </c>
      <c r="M494" s="12">
        <f>VLOOKUP(Shoe_Sales[[#This Row],[Product Cleaned]],Price!$A$2:$C$9,3,0)</f>
        <v>72</v>
      </c>
      <c r="N494" s="12">
        <f>(Shoe_Sales[[#This Row],[Quantity]]*Shoe_Sales[[#This Row],[Selling Price]])</f>
        <v>1920</v>
      </c>
      <c r="O494" s="12">
        <f>(Shoe_Sales[[#This Row],[Quantity]]*Shoe_Sales[[#This Row],[Cost Price]])</f>
        <v>1080</v>
      </c>
      <c r="P494" s="12">
        <f>(Shoe_Sales[[#This Row],[Revenue]]-Shoe_Sales[[#This Row],[Cost]])</f>
        <v>840</v>
      </c>
      <c r="Q494" s="15">
        <f>(Shoe_Sales[[#This Row],[Profit]]/Shoe_Sales[[#This Row],[Revenue]])</f>
        <v>0.4375</v>
      </c>
    </row>
    <row r="495" spans="1:17" x14ac:dyDescent="0.25">
      <c r="A495" s="9">
        <v>46154</v>
      </c>
      <c r="B495" s="4" t="s">
        <v>27</v>
      </c>
      <c r="C495" s="2" t="str">
        <f t="shared" si="14"/>
        <v>Boots</v>
      </c>
      <c r="D495" s="4" t="s">
        <v>48</v>
      </c>
      <c r="E495" s="2" t="str">
        <f t="shared" si="15"/>
        <v>Open</v>
      </c>
      <c r="F495" s="4" t="s">
        <v>19</v>
      </c>
      <c r="G495" s="4" t="s">
        <v>10</v>
      </c>
      <c r="H495" s="4" t="str">
        <f>PROPER(Shoe_Sales[[#This Row],[Brand]])</f>
        <v>Clarks</v>
      </c>
      <c r="I495" s="4" t="s">
        <v>11</v>
      </c>
      <c r="J495" s="5">
        <v>10</v>
      </c>
      <c r="K495" s="4" t="s">
        <v>80</v>
      </c>
      <c r="L495" s="12">
        <f>VLOOKUP(Shoe_Sales[[#This Row],[Product Cleaned]],Price!$A$2:$C$9,2,FALSE)</f>
        <v>76</v>
      </c>
      <c r="M495" s="12">
        <f>VLOOKUP(Shoe_Sales[[#This Row],[Product Cleaned]],Price!$A$2:$C$9,3,0)</f>
        <v>39</v>
      </c>
      <c r="N495" s="12">
        <f>(Shoe_Sales[[#This Row],[Quantity]]*Shoe_Sales[[#This Row],[Selling Price]])</f>
        <v>760</v>
      </c>
      <c r="O495" s="12">
        <f>(Shoe_Sales[[#This Row],[Quantity]]*Shoe_Sales[[#This Row],[Cost Price]])</f>
        <v>390</v>
      </c>
      <c r="P495" s="12">
        <f>(Shoe_Sales[[#This Row],[Revenue]]-Shoe_Sales[[#This Row],[Cost]])</f>
        <v>370</v>
      </c>
      <c r="Q495" s="15">
        <f>(Shoe_Sales[[#This Row],[Profit]]/Shoe_Sales[[#This Row],[Revenue]])</f>
        <v>0.48684210526315791</v>
      </c>
    </row>
    <row r="496" spans="1:17" x14ac:dyDescent="0.25">
      <c r="A496" s="8">
        <v>46079</v>
      </c>
      <c r="B496" s="2" t="s">
        <v>65</v>
      </c>
      <c r="C496" s="2" t="str">
        <f t="shared" si="14"/>
        <v>Canvas</v>
      </c>
      <c r="D496" s="2" t="s">
        <v>48</v>
      </c>
      <c r="E496" s="2" t="str">
        <f t="shared" si="15"/>
        <v>Open</v>
      </c>
      <c r="F496" s="2" t="s">
        <v>19</v>
      </c>
      <c r="G496" s="2" t="s">
        <v>34</v>
      </c>
      <c r="H496" s="2" t="str">
        <f>PROPER(Shoe_Sales[[#This Row],[Brand]])</f>
        <v>Clarks</v>
      </c>
      <c r="I496" s="2" t="s">
        <v>54</v>
      </c>
      <c r="J496" s="3">
        <v>5</v>
      </c>
      <c r="K496" s="2" t="s">
        <v>79</v>
      </c>
      <c r="L496" s="12">
        <f>VLOOKUP(Shoe_Sales[[#This Row],[Product Cleaned]],Price!$A$2:$C$9,2,FALSE)</f>
        <v>128</v>
      </c>
      <c r="M496" s="12">
        <f>VLOOKUP(Shoe_Sales[[#This Row],[Product Cleaned]],Price!$A$2:$C$9,3,0)</f>
        <v>72</v>
      </c>
      <c r="N496" s="12">
        <f>(Shoe_Sales[[#This Row],[Quantity]]*Shoe_Sales[[#This Row],[Selling Price]])</f>
        <v>640</v>
      </c>
      <c r="O496" s="12">
        <f>(Shoe_Sales[[#This Row],[Quantity]]*Shoe_Sales[[#This Row],[Cost Price]])</f>
        <v>360</v>
      </c>
      <c r="P496" s="12">
        <f>(Shoe_Sales[[#This Row],[Revenue]]-Shoe_Sales[[#This Row],[Cost]])</f>
        <v>280</v>
      </c>
      <c r="Q496" s="15">
        <f>(Shoe_Sales[[#This Row],[Profit]]/Shoe_Sales[[#This Row],[Revenue]])</f>
        <v>0.4375</v>
      </c>
    </row>
    <row r="497" spans="1:17" x14ac:dyDescent="0.25">
      <c r="A497" s="9">
        <v>46133</v>
      </c>
      <c r="B497" s="4" t="s">
        <v>42</v>
      </c>
      <c r="C497" s="2" t="str">
        <f t="shared" si="14"/>
        <v>Derby</v>
      </c>
      <c r="D497" s="4" t="s">
        <v>68</v>
      </c>
      <c r="E497" s="2" t="str">
        <f t="shared" si="15"/>
        <v>Open</v>
      </c>
      <c r="F497" s="4" t="s">
        <v>14</v>
      </c>
      <c r="G497" s="4" t="s">
        <v>73</v>
      </c>
      <c r="H497" s="4" t="str">
        <f>PROPER(Shoe_Sales[[#This Row],[Brand]])</f>
        <v>Timberland</v>
      </c>
      <c r="I497" s="4" t="s">
        <v>37</v>
      </c>
      <c r="J497" s="5">
        <v>5</v>
      </c>
      <c r="K497" s="4" t="s">
        <v>81</v>
      </c>
      <c r="L497" s="12">
        <f>VLOOKUP(Shoe_Sales[[#This Row],[Product Cleaned]],Price!$A$2:$C$9,2,FALSE)</f>
        <v>32</v>
      </c>
      <c r="M497" s="12">
        <f>VLOOKUP(Shoe_Sales[[#This Row],[Product Cleaned]],Price!$A$2:$C$9,3,0)</f>
        <v>14</v>
      </c>
      <c r="N497" s="12">
        <f>(Shoe_Sales[[#This Row],[Quantity]]*Shoe_Sales[[#This Row],[Selling Price]])</f>
        <v>160</v>
      </c>
      <c r="O497" s="12">
        <f>(Shoe_Sales[[#This Row],[Quantity]]*Shoe_Sales[[#This Row],[Cost Price]])</f>
        <v>70</v>
      </c>
      <c r="P497" s="12">
        <f>(Shoe_Sales[[#This Row],[Revenue]]-Shoe_Sales[[#This Row],[Cost]])</f>
        <v>90</v>
      </c>
      <c r="Q497" s="15">
        <f>(Shoe_Sales[[#This Row],[Profit]]/Shoe_Sales[[#This Row],[Revenue]])</f>
        <v>0.5625</v>
      </c>
    </row>
    <row r="498" spans="1:17" x14ac:dyDescent="0.25">
      <c r="A498" s="8">
        <v>46198</v>
      </c>
      <c r="B498" s="2" t="s">
        <v>22</v>
      </c>
      <c r="C498" s="2" t="str">
        <f t="shared" si="14"/>
        <v>Loafers</v>
      </c>
      <c r="D498" s="2" t="s">
        <v>18</v>
      </c>
      <c r="E498" s="2" t="str">
        <f t="shared" si="15"/>
        <v>Open</v>
      </c>
      <c r="F498" s="2" t="s">
        <v>9</v>
      </c>
      <c r="G498" s="2" t="s">
        <v>25</v>
      </c>
      <c r="H498" s="2" t="str">
        <f>PROPER(Shoe_Sales[[#This Row],[Brand]])</f>
        <v>Zara</v>
      </c>
      <c r="I498" s="2" t="s">
        <v>16</v>
      </c>
      <c r="J498" s="3">
        <v>8</v>
      </c>
      <c r="K498" s="2" t="s">
        <v>79</v>
      </c>
      <c r="L498" s="12">
        <f>VLOOKUP(Shoe_Sales[[#This Row],[Product Cleaned]],Price!$A$2:$C$9,2,FALSE)</f>
        <v>54</v>
      </c>
      <c r="M498" s="12">
        <f>VLOOKUP(Shoe_Sales[[#This Row],[Product Cleaned]],Price!$A$2:$C$9,3,0)</f>
        <v>28</v>
      </c>
      <c r="N498" s="12">
        <f>(Shoe_Sales[[#This Row],[Quantity]]*Shoe_Sales[[#This Row],[Selling Price]])</f>
        <v>432</v>
      </c>
      <c r="O498" s="12">
        <f>(Shoe_Sales[[#This Row],[Quantity]]*Shoe_Sales[[#This Row],[Cost Price]])</f>
        <v>224</v>
      </c>
      <c r="P498" s="12">
        <f>(Shoe_Sales[[#This Row],[Revenue]]-Shoe_Sales[[#This Row],[Cost]])</f>
        <v>208</v>
      </c>
      <c r="Q498" s="15">
        <f>(Shoe_Sales[[#This Row],[Profit]]/Shoe_Sales[[#This Row],[Revenue]])</f>
        <v>0.48148148148148145</v>
      </c>
    </row>
    <row r="499" spans="1:17" x14ac:dyDescent="0.25">
      <c r="A499" s="9">
        <v>46175</v>
      </c>
      <c r="B499" s="4" t="s">
        <v>74</v>
      </c>
      <c r="C499" s="2" t="str">
        <f t="shared" si="14"/>
        <v>Oxford</v>
      </c>
      <c r="D499" s="4" t="s">
        <v>8</v>
      </c>
      <c r="E499" s="2" t="str">
        <f t="shared" si="15"/>
        <v>Formal</v>
      </c>
      <c r="F499" s="4" t="s">
        <v>29</v>
      </c>
      <c r="G499" s="4" t="s">
        <v>15</v>
      </c>
      <c r="H499" s="4" t="str">
        <f>PROPER(Shoe_Sales[[#This Row],[Brand]])</f>
        <v>Steve Madden</v>
      </c>
      <c r="I499" s="4" t="s">
        <v>35</v>
      </c>
      <c r="J499" s="5">
        <v>3</v>
      </c>
      <c r="K499" s="4" t="s">
        <v>79</v>
      </c>
      <c r="L499" s="12">
        <f>VLOOKUP(Shoe_Sales[[#This Row],[Product Cleaned]],Price!$A$2:$C$9,2,FALSE)</f>
        <v>105</v>
      </c>
      <c r="M499" s="12">
        <f>VLOOKUP(Shoe_Sales[[#This Row],[Product Cleaned]],Price!$A$2:$C$9,3,0)</f>
        <v>58</v>
      </c>
      <c r="N499" s="12">
        <f>(Shoe_Sales[[#This Row],[Quantity]]*Shoe_Sales[[#This Row],[Selling Price]])</f>
        <v>315</v>
      </c>
      <c r="O499" s="12">
        <f>(Shoe_Sales[[#This Row],[Quantity]]*Shoe_Sales[[#This Row],[Cost Price]])</f>
        <v>174</v>
      </c>
      <c r="P499" s="12">
        <f>(Shoe_Sales[[#This Row],[Revenue]]-Shoe_Sales[[#This Row],[Cost]])</f>
        <v>141</v>
      </c>
      <c r="Q499" s="15">
        <f>(Shoe_Sales[[#This Row],[Profit]]/Shoe_Sales[[#This Row],[Revenue]])</f>
        <v>0.44761904761904764</v>
      </c>
    </row>
    <row r="500" spans="1:17" x14ac:dyDescent="0.25">
      <c r="A500" s="8">
        <v>46184</v>
      </c>
      <c r="B500" s="2" t="s">
        <v>44</v>
      </c>
      <c r="C500" s="2" t="str">
        <f t="shared" si="14"/>
        <v>Canvas</v>
      </c>
      <c r="D500" s="2" t="s">
        <v>23</v>
      </c>
      <c r="E500" s="2" t="str">
        <f t="shared" si="15"/>
        <v>Casual</v>
      </c>
      <c r="F500" s="2" t="s">
        <v>29</v>
      </c>
      <c r="G500" s="2" t="s">
        <v>34</v>
      </c>
      <c r="H500" s="2" t="str">
        <f>PROPER(Shoe_Sales[[#This Row],[Brand]])</f>
        <v>Clarks</v>
      </c>
      <c r="I500" s="2" t="s">
        <v>11</v>
      </c>
      <c r="J500" s="3">
        <v>5</v>
      </c>
      <c r="K500" s="2" t="s">
        <v>82</v>
      </c>
      <c r="L500" s="12">
        <f>VLOOKUP(Shoe_Sales[[#This Row],[Product Cleaned]],Price!$A$2:$C$9,2,FALSE)</f>
        <v>128</v>
      </c>
      <c r="M500" s="12">
        <f>VLOOKUP(Shoe_Sales[[#This Row],[Product Cleaned]],Price!$A$2:$C$9,3,0)</f>
        <v>72</v>
      </c>
      <c r="N500" s="12">
        <f>(Shoe_Sales[[#This Row],[Quantity]]*Shoe_Sales[[#This Row],[Selling Price]])</f>
        <v>640</v>
      </c>
      <c r="O500" s="12">
        <f>(Shoe_Sales[[#This Row],[Quantity]]*Shoe_Sales[[#This Row],[Cost Price]])</f>
        <v>360</v>
      </c>
      <c r="P500" s="12">
        <f>(Shoe_Sales[[#This Row],[Revenue]]-Shoe_Sales[[#This Row],[Cost]])</f>
        <v>280</v>
      </c>
      <c r="Q500" s="15">
        <f>(Shoe_Sales[[#This Row],[Profit]]/Shoe_Sales[[#This Row],[Revenue]])</f>
        <v>0.4375</v>
      </c>
    </row>
    <row r="501" spans="1:17" x14ac:dyDescent="0.25">
      <c r="A501" s="10">
        <v>46218</v>
      </c>
      <c r="B501" s="1" t="s">
        <v>42</v>
      </c>
      <c r="C501" s="2" t="str">
        <f t="shared" si="14"/>
        <v>Derby</v>
      </c>
      <c r="D501" s="1" t="s">
        <v>52</v>
      </c>
      <c r="E501" s="2" t="str">
        <f t="shared" si="15"/>
        <v>Casual</v>
      </c>
      <c r="F501" s="1" t="s">
        <v>19</v>
      </c>
      <c r="G501" s="1" t="s">
        <v>34</v>
      </c>
      <c r="H501" s="1" t="str">
        <f>PROPER(Shoe_Sales[[#This Row],[Brand]])</f>
        <v>Clarks</v>
      </c>
      <c r="I501" s="1" t="s">
        <v>41</v>
      </c>
      <c r="J501" s="6">
        <v>4</v>
      </c>
      <c r="K501" s="1" t="s">
        <v>79</v>
      </c>
      <c r="L501" s="12">
        <f>VLOOKUP(Shoe_Sales[[#This Row],[Product Cleaned]],Price!$A$2:$C$9,2,FALSE)</f>
        <v>32</v>
      </c>
      <c r="M501" s="12">
        <f>VLOOKUP(Shoe_Sales[[#This Row],[Product Cleaned]],Price!$A$2:$C$9,3,0)</f>
        <v>14</v>
      </c>
      <c r="N501" s="12">
        <f>(Shoe_Sales[[#This Row],[Quantity]]*Shoe_Sales[[#This Row],[Selling Price]])</f>
        <v>128</v>
      </c>
      <c r="O501" s="12">
        <f>(Shoe_Sales[[#This Row],[Quantity]]*Shoe_Sales[[#This Row],[Cost Price]])</f>
        <v>56</v>
      </c>
      <c r="P501" s="12">
        <f>(Shoe_Sales[[#This Row],[Revenue]]-Shoe_Sales[[#This Row],[Cost]])</f>
        <v>72</v>
      </c>
      <c r="Q501" s="15">
        <f>(Shoe_Sales[[#This Row],[Profit]]/Shoe_Sales[[#This Row],[Revenue]])</f>
        <v>0.5625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914B-6E59-477D-9E0A-EC72DEF25C4A}">
  <dimension ref="A1:C9"/>
  <sheetViews>
    <sheetView workbookViewId="0">
      <selection activeCell="K28" sqref="K28"/>
    </sheetView>
  </sheetViews>
  <sheetFormatPr defaultRowHeight="15" x14ac:dyDescent="0.25"/>
  <cols>
    <col min="1" max="1" width="13.85546875" bestFit="1" customWidth="1"/>
    <col min="2" max="2" width="11.85546875" bestFit="1" customWidth="1"/>
  </cols>
  <sheetData>
    <row r="1" spans="1:3" x14ac:dyDescent="0.25">
      <c r="A1" t="s">
        <v>1</v>
      </c>
      <c r="B1" t="s">
        <v>77</v>
      </c>
      <c r="C1" t="s">
        <v>78</v>
      </c>
    </row>
    <row r="2" spans="1:3" x14ac:dyDescent="0.25">
      <c r="A2" t="s">
        <v>76</v>
      </c>
      <c r="B2" s="7">
        <v>89</v>
      </c>
      <c r="C2" s="7">
        <v>47</v>
      </c>
    </row>
    <row r="3" spans="1:3" x14ac:dyDescent="0.25">
      <c r="A3" t="s">
        <v>51</v>
      </c>
      <c r="B3" s="7">
        <v>54</v>
      </c>
      <c r="C3" s="7">
        <v>28</v>
      </c>
    </row>
    <row r="4" spans="1:3" x14ac:dyDescent="0.25">
      <c r="A4" t="s">
        <v>42</v>
      </c>
      <c r="B4" s="7">
        <v>32</v>
      </c>
      <c r="C4" s="7">
        <v>14</v>
      </c>
    </row>
    <row r="5" spans="1:3" x14ac:dyDescent="0.25">
      <c r="A5" t="s">
        <v>71</v>
      </c>
      <c r="B5" s="7">
        <v>76</v>
      </c>
      <c r="C5" s="7">
        <v>39</v>
      </c>
    </row>
    <row r="6" spans="1:3" x14ac:dyDescent="0.25">
      <c r="A6" t="s">
        <v>65</v>
      </c>
      <c r="B6" s="7">
        <v>128</v>
      </c>
      <c r="C6" s="7">
        <v>72</v>
      </c>
    </row>
    <row r="7" spans="1:3" x14ac:dyDescent="0.25">
      <c r="A7" t="s">
        <v>32</v>
      </c>
      <c r="B7" s="7">
        <v>105</v>
      </c>
      <c r="C7" s="7">
        <v>58</v>
      </c>
    </row>
    <row r="8" spans="1:3" x14ac:dyDescent="0.25">
      <c r="A8" t="s">
        <v>62</v>
      </c>
      <c r="B8" s="7">
        <v>112</v>
      </c>
      <c r="C8" s="7">
        <v>64</v>
      </c>
    </row>
    <row r="9" spans="1:3" x14ac:dyDescent="0.25">
      <c r="A9" t="s">
        <v>17</v>
      </c>
      <c r="B9" s="7">
        <v>119</v>
      </c>
      <c r="C9" s="7">
        <v>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D1757-DCF8-4CFF-84AF-CCBC0F2AD40B}">
  <dimension ref="A1:J10"/>
  <sheetViews>
    <sheetView workbookViewId="0">
      <selection activeCell="K11" sqref="K11"/>
    </sheetView>
  </sheetViews>
  <sheetFormatPr defaultRowHeight="15" x14ac:dyDescent="0.25"/>
  <sheetData>
    <row r="1" spans="1:10" ht="18.75" x14ac:dyDescent="0.3">
      <c r="A1" s="30" t="s">
        <v>88</v>
      </c>
      <c r="B1" s="31"/>
      <c r="C1" s="31"/>
      <c r="D1" s="31"/>
      <c r="E1" s="31"/>
      <c r="F1" s="31"/>
      <c r="G1" s="31"/>
      <c r="H1" s="31"/>
      <c r="I1" s="31"/>
      <c r="J1" s="31"/>
    </row>
    <row r="3" spans="1:10" x14ac:dyDescent="0.25">
      <c r="A3">
        <v>1</v>
      </c>
      <c r="B3" t="s">
        <v>89</v>
      </c>
    </row>
    <row r="4" spans="1:10" x14ac:dyDescent="0.25">
      <c r="A4">
        <v>2</v>
      </c>
      <c r="B4" t="s">
        <v>90</v>
      </c>
    </row>
    <row r="5" spans="1:10" x14ac:dyDescent="0.25">
      <c r="A5">
        <v>3</v>
      </c>
      <c r="B5" t="s">
        <v>91</v>
      </c>
    </row>
    <row r="6" spans="1:10" x14ac:dyDescent="0.25">
      <c r="A6">
        <v>4</v>
      </c>
      <c r="B6" t="s">
        <v>92</v>
      </c>
    </row>
    <row r="7" spans="1:10" x14ac:dyDescent="0.25">
      <c r="A7">
        <v>5</v>
      </c>
      <c r="B7" t="s">
        <v>93</v>
      </c>
    </row>
    <row r="8" spans="1:10" x14ac:dyDescent="0.25">
      <c r="A8">
        <v>6</v>
      </c>
      <c r="B8" t="s">
        <v>94</v>
      </c>
    </row>
    <row r="9" spans="1:10" x14ac:dyDescent="0.25">
      <c r="A9">
        <v>7</v>
      </c>
      <c r="B9" t="s">
        <v>95</v>
      </c>
    </row>
    <row r="10" spans="1:10" x14ac:dyDescent="0.25">
      <c r="A10">
        <v>8</v>
      </c>
      <c r="B10" t="s">
        <v>96</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1AE631-E40A-41ED-B2F8-7406E563F6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Shoe_Sales</vt:lpstr>
      <vt:lpstr>Pivot Table</vt:lpstr>
      <vt:lpstr>Dashboard</vt:lpstr>
      <vt:lpstr>Shoe Sales</vt:lpstr>
      <vt:lpstr>Price</vt:lpstr>
      <vt:lpstr>Business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Machine</dc:creator>
  <cp:lastModifiedBy>Tusnelde Laina Shagwana Endjala</cp:lastModifiedBy>
  <dcterms:created xsi:type="dcterms:W3CDTF">2026-05-12T11:30:47Z</dcterms:created>
  <dcterms:modified xsi:type="dcterms:W3CDTF">2026-08-21T11:37:28Z</dcterms:modified>
</cp:coreProperties>
</file>